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c7a273792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p an" sheetId="1" r:id="Rdaec885a647a40c5"/>
    <x:sheet xmlns:r="http://schemas.openxmlformats.org/officeDocument/2006/relationships" name="Tung doan" sheetId="2" r:id="Ra45e2b133d404ae1"/>
    <x:sheet xmlns:r="http://schemas.openxmlformats.org/officeDocument/2006/relationships" name="Dau vao" sheetId="3" r:id="Rd2ccba07f849476e"/>
    <x:sheet xmlns:r="http://schemas.openxmlformats.org/officeDocument/2006/relationships" name="Quy tac" sheetId="4" r:id="R805b7f234302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dd/mm/yyyy"/>
    <x:numFmt numFmtId="203" formatCode="dd/mm/yyyy hh:mm:ss"/>
    <x:numFmt numFmtId="204" formatCode="dd/mm hh:mm:ss"/>
  </x:numFmts>
  <x:fonts count="4">
    <x:font>
      <x:sz val="11"/>
      <x:name val="Carlito"/>
    </x:font>
    <x:font>
      <x:sz val="11"/>
      <x:color rgb="FF263449"/>
      <x:name val="Arial"/>
    </x:font>
    <x:font>
      <x:b/>
      <x:sz val="11"/>
      <x:color rgb="FFFFFFFF"/>
      <x:name val="Arial"/>
    </x:font>
    <x:font>
      <x:b/>
      <x:sz val="16"/>
      <x:color rgb="FF243A5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7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0d9d55eb14608" /><Relationship Type="http://schemas.openxmlformats.org/officeDocument/2006/relationships/theme" Target="/xl/theme/theme1.xml" Id="R2548f51fa1104cd9" /><Relationship Type="http://schemas.openxmlformats.org/officeDocument/2006/relationships/sharedStrings" Target="/xl/sharedStrings.xml" Id="R85d64d9f96004dae" /><Relationship Type="http://schemas.openxmlformats.org/officeDocument/2006/relationships/worksheet" Target="/xl/worksheets/sheet1.xml" Id="Rdaec885a647a40c5" /><Relationship Type="http://schemas.openxmlformats.org/officeDocument/2006/relationships/worksheet" Target="/xl/worksheets/sheet2.xml" Id="Ra45e2b133d404ae1" /><Relationship Type="http://schemas.openxmlformats.org/officeDocument/2006/relationships/worksheet" Target="/xl/worksheets/sheet3.xml" Id="Rd2ccba07f849476e" /><Relationship Type="http://schemas.openxmlformats.org/officeDocument/2006/relationships/worksheet" Target="/xl/worksheets/sheet4.xml" Id="R805b7f2343024f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47" hidden="0" customWidth="1"/>
    <x:col min="3" max="3" width="15" hidden="0" customWidth="1"/>
    <x:col min="4" max="4" width="15" hidden="0" customWidth="1"/>
    <x:col min="5" max="5" width="17" hidden="0" customWidth="1"/>
    <x:col min="6" max="6" width="16" hidden="0" customWidth="1"/>
    <x:col min="7" max="7" width="13" hidden="0" customWidth="1"/>
    <x:col min="8" max="8" width="24" hidden="0" customWidth="1"/>
    <x:col min="9" max="9" width="18" hidden="0" customWidth="1"/>
    <x:col min="10" max="10" width="24" hidden="0" customWidth="1"/>
    <x:col min="11" max="11" width="18" hidden="0" customWidth="1"/>
    <x:col min="12" max="12" width="36" hidden="0" customWidth="1"/>
    <x:col min="13" max="13" width="18" hidden="0" customWidth="1"/>
  </x:cols>
  <x:sheetData>
    <x:row r="2">
      <x:c r="A2" s="7" t="str">
        <x:v>T-77 / S-32 — Đáp án đối chiếu 22 ca</x:v>
      </x:c>
    </x:row>
    <x:row r="4">
      <x:c r="A4" t="str">
        <x:v>22 ca mở rộng theo yêu cầu; backlog yêu cầu tối thiểu 12. Tên người làm/review là phân công; T-77 được Đào Minh Tâm xác nhận ngày 11/10/2026.</x:v>
      </x:c>
    </x:row>
    <x:row r="6" ht="42" customHeight="1">
      <x:c r="A6" s="6" t="str">
        <x:v>Ca</x:v>
      </x:c>
      <x:c r="B6" s="6" t="str">
        <x:v>Tình huống</x:v>
      </x:c>
      <x:c r="C6" s="6" t="str">
        <x:v>Điện (đ)</x:v>
      </x:c>
      <x:c r="D6" s="6" t="str">
        <x:v>Idle (đ)</x:v>
      </x:c>
      <x:c r="E6" s="6" t="str">
        <x:v>Tổng tính (đ)</x:v>
      </x:c>
      <x:c r="F6" s="6" t="str">
        <x:v>Đáp án (đ)</x:v>
      </x:c>
      <x:c r="G6" s="6" t="str">
        <x:v>Lệch (đ)</x:v>
      </x:c>
      <x:c r="H6" s="6" t="str">
        <x:v>Người làm</x:v>
      </x:c>
      <x:c r="I6" s="6" t="str">
        <x:v>Ngày chuẩn bị</x:v>
      </x:c>
      <x:c r="J6" s="6" t="str">
        <x:v>Người review</x:v>
      </x:c>
      <x:c r="K6" s="6" t="str">
        <x:v>Ngày review</x:v>
      </x:c>
      <x:c r="L6" s="6" t="str">
        <x:v>Trạng thái</x:v>
      </x:c>
      <x:c r="M6" s="6" t="str">
        <x:v>Ngày tính tay</x:v>
      </x:c>
    </x:row>
    <x:row r="7" ht="30" customHeight="1">
      <x:c r="A7" s="2" t="str">
        <x:v>KT-01</x:v>
      </x:c>
      <x:c r="B7" s="2" t="str">
        <x:v>Mot khung, khong chiem tru</x:v>
      </x:c>
      <x:c r="C7" s="8" t="n">
        <x:f>'Tung doan'!J7</x:f>
        <x:v>6000</x:v>
      </x:c>
      <x:c r="D7" s="8" t="n">
        <x:f>0</x:f>
        <x:v>0</x:v>
      </x:c>
      <x:c r="E7" s="8" t="n">
        <x:f>C7+D7</x:f>
        <x:v>6000</x:v>
      </x:c>
      <x:c r="F7" s="8" t="n">
        <x:v>6000</x:v>
      </x:c>
      <x:c r="G7" s="8" t="n">
        <x:f>E7-F7</x:f>
        <x:v>0</x:v>
      </x:c>
      <x:c r="H7" s="2" t="str">
        <x:v>Hoàng Hữu Đạt</x:v>
      </x:c>
      <x:c r="I7" s="10" t="d">
        <x:v>2026-10-11T00:00:00.000Z</x:v>
      </x:c>
      <x:c r="J7" s="2" t="str">
        <x:v>Đào Minh Tâm</x:v>
      </x:c>
      <x:c r="K7" s="11" t="d">
        <x:v>2026-10-11T00:00:00.000Z</x:v>
      </x:c>
      <x:c r="L7" s="12" t="str">
        <x:f>IF(OR(J7="",K7=""),"Chờ tính tay / review",IF(G7&lt;&gt;0,"Có sai lệch", "Đã xác nhận T-77"))</x:f>
        <x:v>Đã xác nhận T-77</x:v>
      </x:c>
      <x:c r="M7" s="11" t="d">
        <x:v>2026-10-11T00:00:00.000Z</x:v>
      </x:c>
    </x:row>
    <x:row r="8" ht="30" customHeight="1">
      <x:c r="A8" s="2" t="str">
        <x:v>KT-02</x:v>
      </x:c>
      <x:c r="B8" s="2" t="str">
        <x:v>21:30–23:30, ranh 22:00</x:v>
      </x:c>
      <x:c r="C8" s="8" t="n">
        <x:f>'Tung doan'!J8+'Tung doan'!J9</x:f>
        <x:v>45000</x:v>
      </x:c>
      <x:c r="D8" s="8" t="n">
        <x:f>0</x:f>
        <x:v>0</x:v>
      </x:c>
      <x:c r="E8" s="8" t="n">
        <x:f>C8+D8</x:f>
        <x:v>45000</x:v>
      </x:c>
      <x:c r="F8" s="8" t="n">
        <x:v>45000</x:v>
      </x:c>
      <x:c r="G8" s="8" t="n">
        <x:f>E8-F8</x:f>
        <x:v>0</x:v>
      </x:c>
      <x:c r="H8" s="2" t="str">
        <x:v>Hoàng Hữu Đạt</x:v>
      </x:c>
      <x:c r="I8" s="10" t="d">
        <x:v>2026-10-11T00:00:00.000Z</x:v>
      </x:c>
      <x:c r="J8" s="2" t="str">
        <x:v>Đào Minh Tâm</x:v>
      </x:c>
      <x:c r="K8" s="11" t="d">
        <x:v>2026-10-11T00:00:00.000Z</x:v>
      </x:c>
      <x:c r="L8" s="12" t="str">
        <x:f>IF(OR(J8="",K8=""),"Chờ tính tay / review",IF(G8&lt;&gt;0,"Có sai lệch", "Đã xác nhận T-77"))</x:f>
        <x:v>Đã xác nhận T-77</x:v>
      </x:c>
      <x:c r="M8" s="11" t="d">
        <x:v>2026-10-11T00:00:00.000Z</x:v>
      </x:c>
    </x:row>
    <x:row r="9" ht="30" customHeight="1">
      <x:c r="A9" s="2" t="str">
        <x:v>KT-03</x:v>
      </x:c>
      <x:c r="B9" s="2" t="str">
        <x:v>Qua ngay, doi bieu gia</x:v>
      </x:c>
      <x:c r="C9" s="8" t="n">
        <x:f>'Tung doan'!J10+'Tung doan'!J11</x:f>
        <x:v>22500</x:v>
      </x:c>
      <x:c r="D9" s="8" t="n">
        <x:f>0</x:f>
        <x:v>0</x:v>
      </x:c>
      <x:c r="E9" s="8" t="n">
        <x:f>C9+D9</x:f>
        <x:v>22500</x:v>
      </x:c>
      <x:c r="F9" s="8" t="n">
        <x:v>22500</x:v>
      </x:c>
      <x:c r="G9" s="8" t="n">
        <x:f>E9-F9</x:f>
        <x:v>0</x:v>
      </x:c>
      <x:c r="H9" s="2" t="str">
        <x:v>Hoàng Hữu Đạt</x:v>
      </x:c>
      <x:c r="I9" s="10" t="d">
        <x:v>2026-10-11T00:00:00.000Z</x:v>
      </x:c>
      <x:c r="J9" s="2" t="str">
        <x:v>Đào Minh Tâm</x:v>
      </x:c>
      <x:c r="K9" s="11" t="d">
        <x:v>2026-10-11T00:00:00.000Z</x:v>
      </x:c>
      <x:c r="L9" s="12" t="str">
        <x:f>IF(OR(J9="",K9=""),"Chờ tính tay / review",IF(G9&lt;&gt;0,"Có sai lệch", "Đã xác nhận T-77"))</x:f>
        <x:v>Đã xác nhận T-77</x:v>
      </x:c>
      <x:c r="M9" s="11" t="d">
        <x:v>2026-10-11T00:00:00.000Z</x:v>
      </x:c>
    </x:row>
    <x:row r="10" ht="30" customHeight="1">
      <x:c r="A10" s="2" t="str">
        <x:v>KT-04</x:v>
      </x:c>
      <x:c r="B10" s="2" t="str">
        <x:v>Bat dau dung ranh 22:00</x:v>
      </x:c>
      <x:c r="C10" s="8" t="n">
        <x:f>'Tung doan'!J12</x:f>
        <x:v>2000</x:v>
      </x:c>
      <x:c r="D10" s="8" t="n">
        <x:f>0</x:f>
        <x:v>0</x:v>
      </x:c>
      <x:c r="E10" s="8" t="n">
        <x:f>C10+D10</x:f>
        <x:v>2000</x:v>
      </x:c>
      <x:c r="F10" s="8" t="n">
        <x:v>2000</x:v>
      </x:c>
      <x:c r="G10" s="8" t="n">
        <x:f>E10-F10</x:f>
        <x:v>0</x:v>
      </x:c>
      <x:c r="H10" s="2" t="str">
        <x:v>Hoàng Hữu Đạt</x:v>
      </x:c>
      <x:c r="I10" s="10" t="d">
        <x:v>2026-10-11T00:00:00.000Z</x:v>
      </x:c>
      <x:c r="J10" s="2" t="str">
        <x:v>Đào Minh Tâm</x:v>
      </x:c>
      <x:c r="K10" s="11" t="d">
        <x:v>2026-10-11T00:00:00.000Z</x:v>
      </x:c>
      <x:c r="L10" s="12" t="str">
        <x:f>IF(OR(J10="",K10=""),"Chờ tính tay / review",IF(G10&lt;&gt;0,"Có sai lệch", "Đã xác nhận T-77"))</x:f>
        <x:v>Đã xác nhận T-77</x:v>
      </x:c>
      <x:c r="M10" s="11" t="d">
        <x:v>2026-10-11T00:00:00.000Z</x:v>
      </x:c>
    </x:row>
    <x:row r="11" ht="30" customHeight="1">
      <x:c r="A11" s="2" t="str">
        <x:v>KT-05</x:v>
      </x:c>
      <x:c r="B11" s="2" t="str">
        <x:v>Ket thuc dung ranh 22:00</x:v>
      </x:c>
      <x:c r="C11" s="8" t="n">
        <x:f>'Tung doan'!J13</x:f>
        <x:v>3000</x:v>
      </x:c>
      <x:c r="D11" s="8" t="n">
        <x:f>0</x:f>
        <x:v>0</x:v>
      </x:c>
      <x:c r="E11" s="8" t="n">
        <x:f>C11+D11</x:f>
        <x:v>3000</x:v>
      </x:c>
      <x:c r="F11" s="8" t="n">
        <x:v>3000</x:v>
      </x:c>
      <x:c r="G11" s="8" t="n">
        <x:f>E11-F11</x:f>
        <x:v>0</x:v>
      </x:c>
      <x:c r="H11" s="2" t="str">
        <x:v>Hoàng Hữu Đạt</x:v>
      </x:c>
      <x:c r="I11" s="10" t="d">
        <x:v>2026-10-11T00:00:00.000Z</x:v>
      </x:c>
      <x:c r="J11" s="2" t="str">
        <x:v>Đào Minh Tâm</x:v>
      </x:c>
      <x:c r="K11" s="11" t="d">
        <x:v>2026-10-11T00:00:00.000Z</x:v>
      </x:c>
      <x:c r="L11" s="12" t="str">
        <x:f>IF(OR(J11="",K11=""),"Chờ tính tay / review",IF(G11&lt;&gt;0,"Có sai lệch", "Đã xác nhận T-77"))</x:f>
        <x:v>Đã xác nhận T-77</x:v>
      </x:c>
      <x:c r="M11" s="11" t="d">
        <x:v>2026-10-11T00:00:00.000Z</x:v>
      </x:c>
    </x:row>
    <x:row r="12" ht="30" customHeight="1">
      <x:c r="A12" s="2" t="str">
        <x:v>KT-06</x:v>
      </x:c>
      <x:c r="B12" s="2" t="str">
        <x:v>Cat ranh 06:00</x:v>
      </x:c>
      <x:c r="C12" s="8" t="n">
        <x:f>'Tung doan'!J14+'Tung doan'!J15</x:f>
        <x:v>3000</x:v>
      </x:c>
      <x:c r="D12" s="8" t="n">
        <x:f>0</x:f>
        <x:v>0</x:v>
      </x:c>
      <x:c r="E12" s="8" t="n">
        <x:f>C12+D12</x:f>
        <x:v>3000</x:v>
      </x:c>
      <x:c r="F12" s="8" t="n">
        <x:v>3000</x:v>
      </x:c>
      <x:c r="G12" s="8" t="n">
        <x:f>E12-F12</x:f>
        <x:v>0</x:v>
      </x:c>
      <x:c r="H12" s="2" t="str">
        <x:v>Hoàng Hữu Đạt</x:v>
      </x:c>
      <x:c r="I12" s="10" t="d">
        <x:v>2026-10-11T00:00:00.000Z</x:v>
      </x:c>
      <x:c r="J12" s="2" t="str">
        <x:v>Đào Minh Tâm</x:v>
      </x:c>
      <x:c r="K12" s="11" t="d">
        <x:v>2026-10-11T00:00:00.000Z</x:v>
      </x:c>
      <x:c r="L12" s="12" t="str">
        <x:f>IF(OR(J12="",K12=""),"Chờ tính tay / review",IF(G12&lt;&gt;0,"Có sai lệch", "Đã xác nhận T-77"))</x:f>
        <x:v>Đã xác nhận T-77</x:v>
      </x:c>
      <x:c r="M12" s="11" t="d">
        <x:v>2026-10-11T00:00:00.000Z</x:v>
      </x:c>
    </x:row>
    <x:row r="13" ht="30" customHeight="1">
      <x:c r="A13" s="2" t="str">
        <x:v>KT-07</x:v>
      </x:c>
      <x:c r="B13" s="2" t="str">
        <x:v>Ba khung, hai ranh</x:v>
      </x:c>
      <x:c r="C13" s="8" t="n">
        <x:f>'Tung doan'!J16+'Tung doan'!J17+'Tung doan'!J18</x:f>
        <x:v>52000</x:v>
      </x:c>
      <x:c r="D13" s="8" t="n">
        <x:f>0</x:f>
        <x:v>0</x:v>
      </x:c>
      <x:c r="E13" s="8" t="n">
        <x:f>C13+D13</x:f>
        <x:v>52000</x:v>
      </x:c>
      <x:c r="F13" s="8" t="n">
        <x:v>52000</x:v>
      </x:c>
      <x:c r="G13" s="8" t="n">
        <x:f>E13-F13</x:f>
        <x:v>0</x:v>
      </x:c>
      <x:c r="H13" s="2" t="str">
        <x:v>Hoàng Hữu Đạt</x:v>
      </x:c>
      <x:c r="I13" s="10" t="d">
        <x:v>2026-10-11T00:00:00.000Z</x:v>
      </x:c>
      <x:c r="J13" s="2" t="str">
        <x:v>Đào Minh Tâm</x:v>
      </x:c>
      <x:c r="K13" s="11" t="d">
        <x:v>2026-10-11T00:00:00.000Z</x:v>
      </x:c>
      <x:c r="L13" s="12" t="str">
        <x:f>IF(OR(J13="",K13=""),"Chờ tính tay / review",IF(G13&lt;&gt;0,"Có sai lệch", "Đã xác nhận T-77"))</x:f>
        <x:v>Đã xác nhận T-77</x:v>
      </x:c>
      <x:c r="M13" s="11" t="d">
        <x:v>2026-10-11T00:00:00.000Z</x:v>
      </x:c>
    </x:row>
    <x:row r="14" ht="30" customHeight="1">
      <x:c r="A14" s="2" t="str">
        <x:v>KT-08</x:v>
      </x:c>
      <x:c r="B14" s="2" t="str">
        <x:v>So do thua, doc theo cap ke nhau</x:v>
      </x:c>
      <x:c r="C14" s="8" t="n">
        <x:f>'Tung doan'!J19+'Tung doan'!J20</x:f>
        <x:v>3600</x:v>
      </x:c>
      <x:c r="D14" s="8" t="n">
        <x:f>0</x:f>
        <x:v>0</x:v>
      </x:c>
      <x:c r="E14" s="8" t="n">
        <x:f>C14+D14</x:f>
        <x:v>3600</x:v>
      </x:c>
      <x:c r="F14" s="8" t="n">
        <x:v>3600</x:v>
      </x:c>
      <x:c r="G14" s="8" t="n">
        <x:f>E14-F14</x:f>
        <x:v>0</x:v>
      </x:c>
      <x:c r="H14" s="2" t="str">
        <x:v>Hoàng Hữu Đạt</x:v>
      </x:c>
      <x:c r="I14" s="10" t="d">
        <x:v>2026-10-11T00:00:00.000Z</x:v>
      </x:c>
      <x:c r="J14" s="2" t="str">
        <x:v>Đào Minh Tâm</x:v>
      </x:c>
      <x:c r="K14" s="11" t="d">
        <x:v>2026-10-11T00:00:00.000Z</x:v>
      </x:c>
      <x:c r="L14" s="12" t="str">
        <x:f>IF(OR(J14="",K14=""),"Chờ tính tay / review",IF(G14&lt;&gt;0,"Có sai lệch", "Đã xác nhận T-77"))</x:f>
        <x:v>Đã xác nhận T-77</x:v>
      </x:c>
      <x:c r="M14" s="11" t="d">
        <x:v>2026-10-11T00:00:00.000Z</x:v>
      </x:c>
    </x:row>
    <x:row r="15" ht="30" customHeight="1">
      <x:c r="A15" s="2" t="str">
        <x:v>KT-09</x:v>
      </x:c>
      <x:c r="B15" s="2" t="str">
        <x:v>Noi suy .5 Wh, bao toan tong</x:v>
      </x:c>
      <x:c r="C15" s="8" t="n">
        <x:f>'Tung doan'!J21+'Tung doan'!J22</x:f>
        <x:v>13</x:v>
      </x:c>
      <x:c r="D15" s="8" t="n">
        <x:f>0</x:f>
        <x:v>0</x:v>
      </x:c>
      <x:c r="E15" s="8" t="n">
        <x:f>C15+D15</x:f>
        <x:v>13</x:v>
      </x:c>
      <x:c r="F15" s="8" t="n">
        <x:v>13</x:v>
      </x:c>
      <x:c r="G15" s="8" t="n">
        <x:f>E15-F15</x:f>
        <x:v>0</x:v>
      </x:c>
      <x:c r="H15" s="2" t="str">
        <x:v>Hoàng Hữu Đạt</x:v>
      </x:c>
      <x:c r="I15" s="10" t="d">
        <x:v>2026-10-11T00:00:00.000Z</x:v>
      </x:c>
      <x:c r="J15" s="2" t="str">
        <x:v>Đào Minh Tâm</x:v>
      </x:c>
      <x:c r="K15" s="11" t="d">
        <x:v>2026-10-11T00:00:00.000Z</x:v>
      </x:c>
      <x:c r="L15" s="12" t="str">
        <x:f>IF(OR(J15="",K15=""),"Chờ tính tay / review",IF(G15&lt;&gt;0,"Có sai lệch", "Đã xác nhận T-77"))</x:f>
        <x:v>Đã xác nhận T-77</x:v>
      </x:c>
      <x:c r="M15" s="11" t="d">
        <x:v>2026-10-11T00:00:00.000Z</x:v>
      </x:c>
    </x:row>
    <x:row r="16" ht="30" customHeight="1">
      <x:c r="A16" s="2" t="str">
        <x:v>KT-10</x:v>
      </x:c>
      <x:c r="B16" s="2" t="str">
        <x:v>Tien tai diem nua dong</x:v>
      </x:c>
      <x:c r="C16" s="8" t="n">
        <x:f>'Tung doan'!J23</x:f>
        <x:v>3</x:v>
      </x:c>
      <x:c r="D16" s="8" t="n">
        <x:f>0</x:f>
        <x:v>0</x:v>
      </x:c>
      <x:c r="E16" s="8" t="n">
        <x:f>C16+D16</x:f>
        <x:v>3</x:v>
      </x:c>
      <x:c r="F16" s="8" t="n">
        <x:v>3</x:v>
      </x:c>
      <x:c r="G16" s="8" t="n">
        <x:f>E16-F16</x:f>
        <x:v>0</x:v>
      </x:c>
      <x:c r="H16" s="2" t="str">
        <x:v>Hoàng Hữu Đạt</x:v>
      </x:c>
      <x:c r="I16" s="10" t="d">
        <x:v>2026-10-11T00:00:00.000Z</x:v>
      </x:c>
      <x:c r="J16" s="2" t="str">
        <x:v>Đào Minh Tâm</x:v>
      </x:c>
      <x:c r="K16" s="11" t="d">
        <x:v>2026-10-11T00:00:00.000Z</x:v>
      </x:c>
      <x:c r="L16" s="12" t="str">
        <x:f>IF(OR(J16="",K16=""),"Chờ tính tay / review",IF(G16&lt;&gt;0,"Có sai lệch", "Đã xác nhận T-77"))</x:f>
        <x:v>Đã xác nhận T-77</x:v>
      </x:c>
      <x:c r="M16" s="11" t="d">
        <x:v>2026-10-11T00:00:00.000Z</x:v>
      </x:c>
    </x:row>
    <x:row r="17" ht="30" customHeight="1">
      <x:c r="A17" s="2" t="str">
        <x:v>KT-11</x:v>
      </x:c>
      <x:c r="B17" s="2" t="str">
        <x:v>Lam tron moi doan roi cong</x:v>
      </x:c>
      <x:c r="C17" s="8" t="n">
        <x:f>'Tung doan'!J24+'Tung doan'!J25</x:f>
        <x:v>6</x:v>
      </x:c>
      <x:c r="D17" s="8" t="n">
        <x:f>0</x:f>
        <x:v>0</x:v>
      </x:c>
      <x:c r="E17" s="8" t="n">
        <x:f>C17+D17</x:f>
        <x:v>6</x:v>
      </x:c>
      <x:c r="F17" s="8" t="n">
        <x:v>6</x:v>
      </x:c>
      <x:c r="G17" s="8" t="n">
        <x:f>E17-F17</x:f>
        <x:v>0</x:v>
      </x:c>
      <x:c r="H17" s="2" t="str">
        <x:v>Hoàng Hữu Đạt</x:v>
      </x:c>
      <x:c r="I17" s="10" t="d">
        <x:v>2026-10-11T00:00:00.000Z</x:v>
      </x:c>
      <x:c r="J17" s="2" t="str">
        <x:v>Đào Minh Tâm</x:v>
      </x:c>
      <x:c r="K17" s="11" t="d">
        <x:v>2026-10-11T00:00:00.000Z</x:v>
      </x:c>
      <x:c r="L17" s="12" t="str">
        <x:f>IF(OR(J17="",K17=""),"Chờ tính tay / review",IF(G17&lt;&gt;0,"Có sai lệch", "Đã xác nhận T-77"))</x:f>
        <x:v>Đã xác nhận T-77</x:v>
      </x:c>
      <x:c r="M17" s="11" t="d">
        <x:v>2026-10-11T00:00:00.000Z</x:v>
      </x:c>
    </x:row>
    <x:row r="18" ht="30" customHeight="1">
      <x:c r="A18" s="2" t="str">
        <x:v>KT-12</x:v>
      </x:c>
      <x:c r="B18" s="2" t="str">
        <x:v>Khong tang dien nang</x:v>
      </x:c>
      <x:c r="C18" s="8" t="n">
        <x:f>0</x:f>
        <x:v>0</x:v>
      </x:c>
      <x:c r="D18" s="8" t="n">
        <x:f>0</x:f>
        <x:v>0</x:v>
      </x:c>
      <x:c r="E18" s="8" t="n">
        <x:f>C18+D18</x:f>
        <x:v>0</x:v>
      </x:c>
      <x:c r="F18" s="8" t="n">
        <x:v>0</x:v>
      </x:c>
      <x:c r="G18" s="8" t="n">
        <x:f>E18-F18</x:f>
        <x:v>0</x:v>
      </x:c>
      <x:c r="H18" s="2" t="str">
        <x:v>Hoàng Hữu Đạt</x:v>
      </x:c>
      <x:c r="I18" s="10" t="d">
        <x:v>2026-10-11T00:00:00.000Z</x:v>
      </x:c>
      <x:c r="J18" s="2" t="str">
        <x:v>Đào Minh Tâm</x:v>
      </x:c>
      <x:c r="K18" s="11" t="d">
        <x:v>2026-10-11T00:00:00.000Z</x:v>
      </x:c>
      <x:c r="L18" s="12" t="str">
        <x:f>IF(OR(J18="",K18=""),"Chờ tính tay / review",IF(G18&lt;&gt;0,"Có sai lệch", "Đã xác nhận T-77"))</x:f>
        <x:v>Đã xác nhận T-77</x:v>
      </x:c>
      <x:c r="M18" s="11" t="d">
        <x:v>2026-10-11T00:00:00.000Z</x:v>
      </x:c>
    </x:row>
    <x:row r="19" ht="30" customHeight="1">
      <x:c r="A19" s="2" t="str">
        <x:v>KT-13</x:v>
      </x:c>
      <x:c r="B19" s="2" t="str">
        <x:v>Chiem tru vuot an han 5 phut</x:v>
      </x:c>
      <x:c r="C19" s="8" t="n">
        <x:f>'Tung doan'!J26</x:f>
        <x:v>3000</x:v>
      </x:c>
      <x:c r="D19" s="8" t="n">
        <x:f>'Tung doan'!F45</x:f>
        <x:v>1000</x:v>
      </x:c>
      <x:c r="E19" s="8" t="n">
        <x:f>C19+D19</x:f>
        <x:v>4000</x:v>
      </x:c>
      <x:c r="F19" s="8" t="n">
        <x:v>4000</x:v>
      </x:c>
      <x:c r="G19" s="8" t="n">
        <x:f>E19-F19</x:f>
        <x:v>0</x:v>
      </x:c>
      <x:c r="H19" s="2" t="str">
        <x:v>Hoàng Hữu Đạt</x:v>
      </x:c>
      <x:c r="I19" s="10" t="d">
        <x:v>2026-10-11T00:00:00.000Z</x:v>
      </x:c>
      <x:c r="J19" s="2" t="str">
        <x:v>Đào Minh Tâm</x:v>
      </x:c>
      <x:c r="K19" s="11" t="d">
        <x:v>2026-10-11T00:00:00.000Z</x:v>
      </x:c>
      <x:c r="L19" s="12" t="str">
        <x:f>IF(OR(J19="",K19=""),"Chờ tính tay / review",IF(G19&lt;&gt;0,"Có sai lệch", "Đã xác nhận T-77"))</x:f>
        <x:v>Đã xác nhận T-77</x:v>
      </x:c>
      <x:c r="M19" s="11" t="d">
        <x:v>2026-10-11T00:00:00.000Z</x:v>
      </x:c>
    </x:row>
    <x:row r="20" ht="30" customHeight="1">
      <x:c r="A20" s="2" t="str">
        <x:v>KT-14</x:v>
      </x:c>
      <x:c r="B20" s="2" t="str">
        <x:v>Chiem tru dung an han</x:v>
      </x:c>
      <x:c r="C20" s="8" t="n">
        <x:f>'Tung doan'!J27</x:f>
        <x:v>3000</x:v>
      </x:c>
      <x:c r="D20" s="8" t="n">
        <x:f>0</x:f>
        <x:v>0</x:v>
      </x:c>
      <x:c r="E20" s="8" t="n">
        <x:f>C20+D20</x:f>
        <x:v>3000</x:v>
      </x:c>
      <x:c r="F20" s="8" t="n">
        <x:v>3000</x:v>
      </x:c>
      <x:c r="G20" s="8" t="n">
        <x:f>E20-F20</x:f>
        <x:v>0</x:v>
      </x:c>
      <x:c r="H20" s="2" t="str">
        <x:v>Hoàng Hữu Đạt</x:v>
      </x:c>
      <x:c r="I20" s="10" t="d">
        <x:v>2026-10-11T00:00:00.000Z</x:v>
      </x:c>
      <x:c r="J20" s="2" t="str">
        <x:v>Đào Minh Tâm</x:v>
      </x:c>
      <x:c r="K20" s="11" t="d">
        <x:v>2026-10-11T00:00:00.000Z</x:v>
      </x:c>
      <x:c r="L20" s="12" t="str">
        <x:f>IF(OR(J20="",K20=""),"Chờ tính tay / review",IF(G20&lt;&gt;0,"Có sai lệch", "Đã xác nhận T-77"))</x:f>
        <x:v>Đã xác nhận T-77</x:v>
      </x:c>
      <x:c r="M20" s="11" t="d">
        <x:v>2026-10-11T00:00:00.000Z</x:v>
      </x:c>
    </x:row>
    <x:row r="21" ht="30" customHeight="1">
      <x:c r="A21" s="2" t="str">
        <x:v>KT-15</x:v>
      </x:c>
      <x:c r="B21" s="2" t="str">
        <x:v>Vuot an han mot giay</x:v>
      </x:c>
      <x:c r="C21" s="8" t="n">
        <x:f>'Tung doan'!J28</x:f>
        <x:v>3000</x:v>
      </x:c>
      <x:c r="D21" s="8" t="n">
        <x:f>'Tung doan'!F46</x:f>
        <x:v>200</x:v>
      </x:c>
      <x:c r="E21" s="8" t="n">
        <x:f>C21+D21</x:f>
        <x:v>3200</x:v>
      </x:c>
      <x:c r="F21" s="8" t="n">
        <x:v>3200</x:v>
      </x:c>
      <x:c r="G21" s="8" t="n">
        <x:f>E21-F21</x:f>
        <x:v>0</x:v>
      </x:c>
      <x:c r="H21" s="2" t="str">
        <x:v>Hoàng Hữu Đạt</x:v>
      </x:c>
      <x:c r="I21" s="10" t="d">
        <x:v>2026-10-11T00:00:00.000Z</x:v>
      </x:c>
      <x:c r="J21" s="2" t="str">
        <x:v>Đào Minh Tâm</x:v>
      </x:c>
      <x:c r="K21" s="11" t="d">
        <x:v>2026-10-11T00:00:00.000Z</x:v>
      </x:c>
      <x:c r="L21" s="12" t="str">
        <x:f>IF(OR(J21="",K21=""),"Chờ tính tay / review",IF(G21&lt;&gt;0,"Có sai lệch", "Đã xác nhận T-77"))</x:f>
        <x:v>Đã xác nhận T-77</x:v>
      </x:c>
      <x:c r="M21" s="11" t="d">
        <x:v>2026-10-11T00:00:00.000Z</x:v>
      </x:c>
    </x:row>
    <x:row r="22" ht="30" customHeight="1">
      <x:c r="A22" s="2" t="str">
        <x:v>KT-16</x:v>
      </x:c>
      <x:c r="B22" s="2" t="str">
        <x:v>Chiem tru qua ngay, an han mot lan</x:v>
      </x:c>
      <x:c r="C22" s="8" t="n">
        <x:f>'Tung doan'!J29</x:f>
        <x:v>2000</x:v>
      </x:c>
      <x:c r="D22" s="8" t="n">
        <x:f>'Tung doan'!F47+'Tung doan'!F48</x:f>
        <x:v>4300</x:v>
      </x:c>
      <x:c r="E22" s="8" t="n">
        <x:f>C22+D22</x:f>
        <x:v>6300</x:v>
      </x:c>
      <x:c r="F22" s="8" t="n">
        <x:v>6300</x:v>
      </x:c>
      <x:c r="G22" s="8" t="n">
        <x:f>E22-F22</x:f>
        <x:v>0</x:v>
      </x:c>
      <x:c r="H22" s="2" t="str">
        <x:v>Hoàng Hữu Đạt</x:v>
      </x:c>
      <x:c r="I22" s="10" t="d">
        <x:v>2026-10-11T00:00:00.000Z</x:v>
      </x:c>
      <x:c r="J22" s="2" t="str">
        <x:v>Đào Minh Tâm</x:v>
      </x:c>
      <x:c r="K22" s="11" t="d">
        <x:v>2026-10-11T00:00:00.000Z</x:v>
      </x:c>
      <x:c r="L22" s="12" t="str">
        <x:f>IF(OR(J22="",K22=""),"Chờ tính tay / review",IF(G22&lt;&gt;0,"Có sai lệch", "Đã xác nhận T-77"))</x:f>
        <x:v>Đã xác nhận T-77</x:v>
      </x:c>
      <x:c r="M22" s="11" t="d">
        <x:v>2026-10-11T00:00:00.000Z</x:v>
      </x:c>
    </x:row>
    <x:row r="23" ht="30" customHeight="1">
      <x:c r="A23" s="2" t="str">
        <x:v>KT-17</x:v>
      </x:c>
      <x:c r="B23" s="2" t="str">
        <x:v>Idle dưới ân hạn</x:v>
      </x:c>
      <x:c r="C23" s="8" t="n">
        <x:f>'Tung doan'!J30</x:f>
        <x:v>3000</x:v>
      </x:c>
      <x:c r="D23" s="8" t="n">
        <x:f>0</x:f>
        <x:v>0</x:v>
      </x:c>
      <x:c r="E23" s="8" t="n">
        <x:f>C23+D23</x:f>
        <x:v>3000</x:v>
      </x:c>
      <x:c r="F23" s="8" t="n">
        <x:v>3000</x:v>
      </x:c>
      <x:c r="G23" s="8" t="n">
        <x:f>E23-F23</x:f>
        <x:v>0</x:v>
      </x:c>
      <x:c r="H23" s="2" t="str">
        <x:v>Hoàng Hữu Đạt</x:v>
      </x:c>
      <x:c r="I23" s="10" t="d">
        <x:v>2026-10-11T00:00:00.000Z</x:v>
      </x:c>
      <x:c r="J23" s="2" t="str">
        <x:v>Đào Minh Tâm</x:v>
      </x:c>
      <x:c r="K23" s="11" t="d">
        <x:v>2026-10-11T00:00:00.000Z</x:v>
      </x:c>
      <x:c r="L23" s="12" t="str">
        <x:f>IF(OR(J23="",K23=""),"Chờ tính tay / review",IF(G23&lt;&gt;0,"Có sai lệch", "Đã xác nhận T-77"))</x:f>
        <x:v>Đã xác nhận T-77</x:v>
      </x:c>
      <x:c r="M23" s="11" t="d">
        <x:v>2026-10-11T00:00:00.000Z</x:v>
      </x:c>
    </x:row>
    <x:row r="24" ht="30" customHeight="1">
      <x:c r="A24" s="2" t="str">
        <x:v>KT-18</x:v>
      </x:c>
      <x:c r="B24" s="2" t="str">
        <x:v>Đúng một phút sau ân hạn</x:v>
      </x:c>
      <x:c r="C24" s="8" t="n">
        <x:f>'Tung doan'!J31</x:f>
        <x:v>3000</x:v>
      </x:c>
      <x:c r="D24" s="8" t="n">
        <x:f>'Tung doan'!F49</x:f>
        <x:v>200</x:v>
      </x:c>
      <x:c r="E24" s="8" t="n">
        <x:f>C24+D24</x:f>
        <x:v>3200</x:v>
      </x:c>
      <x:c r="F24" s="8" t="n">
        <x:v>3200</x:v>
      </x:c>
      <x:c r="G24" s="8" t="n">
        <x:f>E24-F24</x:f>
        <x:v>0</x:v>
      </x:c>
      <x:c r="H24" s="2" t="str">
        <x:v>Hoàng Hữu Đạt</x:v>
      </x:c>
      <x:c r="I24" s="10" t="d">
        <x:v>2026-10-11T00:00:00.000Z</x:v>
      </x:c>
      <x:c r="J24" s="2" t="str">
        <x:v>Đào Minh Tâm</x:v>
      </x:c>
      <x:c r="K24" s="11" t="d">
        <x:v>2026-10-11T00:00:00.000Z</x:v>
      </x:c>
      <x:c r="L24" s="12" t="str">
        <x:f>IF(OR(J24="",K24=""),"Chờ tính tay / review",IF(G24&lt;&gt;0,"Có sai lệch", "Đã xác nhận T-77"))</x:f>
        <x:v>Đã xác nhận T-77</x:v>
      </x:c>
      <x:c r="M24" s="11" t="d">
        <x:v>2026-10-11T00:00:00.000Z</x:v>
      </x:c>
    </x:row>
    <x:row r="25" ht="30" customHeight="1">
      <x:c r="A25" s="2" t="str">
        <x:v>KT-19</x:v>
      </x:c>
      <x:c r="B25" s="2" t="str">
        <x:v>26 giờ, ba ngày và giá hiệu lực kế thừa</x:v>
      </x:c>
      <x:c r="C25" s="8" t="n">
        <x:f>'Tung doan'!J32+'Tung doan'!J33+'Tung doan'!J34+'Tung doan'!J35+'Tung doan'!J36</x:f>
        <x:v>80500</x:v>
      </x:c>
      <x:c r="D25" s="8" t="n">
        <x:f>0</x:f>
        <x:v>0</x:v>
      </x:c>
      <x:c r="E25" s="8" t="n">
        <x:f>C25+D25</x:f>
        <x:v>80500</x:v>
      </x:c>
      <x:c r="F25" s="8" t="n">
        <x:v>80500</x:v>
      </x:c>
      <x:c r="G25" s="8" t="n">
        <x:f>E25-F25</x:f>
        <x:v>0</x:v>
      </x:c>
      <x:c r="H25" s="2" t="str">
        <x:v>Hoàng Hữu Đạt</x:v>
      </x:c>
      <x:c r="I25" s="10" t="d">
        <x:v>2026-10-11T00:00:00.000Z</x:v>
      </x:c>
      <x:c r="J25" s="2" t="str">
        <x:v>Đào Minh Tâm</x:v>
      </x:c>
      <x:c r="K25" s="11" t="d">
        <x:v>2026-10-11T00:00:00.000Z</x:v>
      </x:c>
      <x:c r="L25" s="12" t="str">
        <x:f>IF(OR(J25="",K25=""),"Chờ tính tay / review",IF(G25&lt;&gt;0,"Có sai lệch", "Đã xác nhận T-77"))</x:f>
        <x:v>Đã xác nhận T-77</x:v>
      </x:c>
      <x:c r="M25" s="11" t="d">
        <x:v>2026-10-11T00:00:00.000Z</x:v>
      </x:c>
    </x:row>
    <x:row r="26" ht="30" customHeight="1">
      <x:c r="A26" s="2" t="str">
        <x:v>KT-20</x:v>
      </x:c>
      <x:c r="B26" s="2" t="str">
        <x:v>Múi giờ trạm khác UTC+7</x:v>
      </x:c>
      <x:c r="C26" s="8" t="n">
        <x:f>'Tung doan'!J37+'Tung doan'!J38</x:f>
        <x:v>22500</x:v>
      </x:c>
      <x:c r="D26" s="8" t="n">
        <x:f>0</x:f>
        <x:v>0</x:v>
      </x:c>
      <x:c r="E26" s="8" t="n">
        <x:f>C26+D26</x:f>
        <x:v>22500</x:v>
      </x:c>
      <x:c r="F26" s="8" t="n">
        <x:v>22500</x:v>
      </x:c>
      <x:c r="G26" s="8" t="n">
        <x:f>E26-F26</x:f>
        <x:v>0</x:v>
      </x:c>
      <x:c r="H26" s="2" t="str">
        <x:v>Hoàng Hữu Đạt</x:v>
      </x:c>
      <x:c r="I26" s="10" t="d">
        <x:v>2026-10-11T00:00:00.000Z</x:v>
      </x:c>
      <x:c r="J26" s="2" t="str">
        <x:v>Đào Minh Tâm</x:v>
      </x:c>
      <x:c r="K26" s="11" t="d">
        <x:v>2026-10-11T00:00:00.000Z</x:v>
      </x:c>
      <x:c r="L26" s="12" t="str">
        <x:f>IF(OR(J26="",K26=""),"Chờ tính tay / review",IF(G26&lt;&gt;0,"Có sai lệch", "Đã xác nhận T-77"))</x:f>
        <x:v>Đã xác nhận T-77</x:v>
      </x:c>
      <x:c r="M26" s="11" t="d">
        <x:v>2026-10-11T00:00:00.000Z</x:v>
      </x:c>
    </x:row>
    <x:row r="27" ht="30" customHeight="1">
      <x:c r="A27" s="2" t="str">
        <x:v>KT-21</x:v>
      </x:c>
      <x:c r="B27" s="2" t="str">
        <x:v>Đoạn ranh 0 Wh được bỏ, phiên vẫn có Wh</x:v>
      </x:c>
      <x:c r="C27" s="8" t="n">
        <x:f>'Tung doan'!J39</x:f>
        <x:v>2</x:v>
      </x:c>
      <x:c r="D27" s="8" t="n">
        <x:f>0</x:f>
        <x:v>0</x:v>
      </x:c>
      <x:c r="E27" s="8" t="n">
        <x:f>C27+D27</x:f>
        <x:v>2</x:v>
      </x:c>
      <x:c r="F27" s="8" t="n">
        <x:v>2</x:v>
      </x:c>
      <x:c r="G27" s="8" t="n">
        <x:f>E27-F27</x:f>
        <x:v>0</x:v>
      </x:c>
      <x:c r="H27" s="2" t="str">
        <x:v>Hoàng Hữu Đạt</x:v>
      </x:c>
      <x:c r="I27" s="10" t="d">
        <x:v>2026-10-11T00:00:00.000Z</x:v>
      </x:c>
      <x:c r="J27" s="2" t="str">
        <x:v>Đào Minh Tâm</x:v>
      </x:c>
      <x:c r="K27" s="11" t="d">
        <x:v>2026-10-11T00:00:00.000Z</x:v>
      </x:c>
      <x:c r="L27" s="12" t="str">
        <x:f>IF(OR(J27="",K27=""),"Chờ tính tay / review",IF(G27&lt;&gt;0,"Có sai lệch", "Đã xác nhận T-77"))</x:f>
        <x:v>Đã xác nhận T-77</x:v>
      </x:c>
      <x:c r="M27" s="11" t="d">
        <x:v>2026-10-11T00:00:00.000Z</x:v>
      </x:c>
    </x:row>
    <x:row r="28" ht="30" customHeight="1">
      <x:c r="A28" s="2" t="str">
        <x:v>KT-22</x:v>
      </x:c>
      <x:c r="B28" s="2" t="str">
        <x:v>Nhiều khoảng idle, chỉ thu khoảng cuối</x:v>
      </x:c>
      <x:c r="C28" s="8" t="n">
        <x:f>'Tung doan'!J40</x:f>
        <x:v>3000</x:v>
      </x:c>
      <x:c r="D28" s="8" t="n">
        <x:f>'Tung doan'!F50</x:f>
        <x:v>1000</x:v>
      </x:c>
      <x:c r="E28" s="8" t="n">
        <x:f>C28+D28</x:f>
        <x:v>4000</x:v>
      </x:c>
      <x:c r="F28" s="8" t="n">
        <x:v>4000</x:v>
      </x:c>
      <x:c r="G28" s="8" t="n">
        <x:f>E28-F28</x:f>
        <x:v>0</x:v>
      </x:c>
      <x:c r="H28" s="2" t="str">
        <x:v>Hoàng Hữu Đạt</x:v>
      </x:c>
      <x:c r="I28" s="10" t="d">
        <x:v>2026-10-11T00:00:00.000Z</x:v>
      </x:c>
      <x:c r="J28" s="2" t="str">
        <x:v>Đào Minh Tâm</x:v>
      </x:c>
      <x:c r="K28" s="11" t="d">
        <x:v>2026-10-11T00:00:00.000Z</x:v>
      </x:c>
      <x:c r="L28" s="12" t="str">
        <x:f>IF(OR(J28="",K28=""),"Chờ tính tay / review",IF(G28&lt;&gt;0,"Có sai lệch", "Đã xác nhận T-77"))</x:f>
        <x:v>Đã xác nhận T-77</x:v>
      </x:c>
      <x:c r="M28" s="11" t="d">
        <x:v>2026-10-11T00:00:00.000Z</x:v>
      </x:c>
    </x:row>
  </x:sheetData>
  <x:conditionalFormatting sqref="G7:G28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3" hidden="0" customWidth="1"/>
    <x:col min="5" max="5" width="12" hidden="0" customWidth="1"/>
    <x:col min="6" max="6" width="13" hidden="0" customWidth="1"/>
    <x:col min="7" max="7" width="18" hidden="0" customWidth="1"/>
    <x:col min="8" max="8" width="12" hidden="0" customWidth="1"/>
    <x:col min="9" max="9" width="18" hidden="0" customWidth="1"/>
    <x:col min="10" max="10" width="16" hidden="0" customWidth="1"/>
    <x:col min="11" max="11" width="18" hidden="0" customWidth="1"/>
    <x:col min="12" max="12" width="14" hidden="0" customWidth="1"/>
  </x:cols>
  <x:sheetData>
    <x:row r="2">
      <x:c r="A2" s="7" t="str">
        <x:v>Chi tiết điện năng và tiền từng đoạn</x:v>
      </x:c>
    </x:row>
    <x:row r="4">
      <x:c r="A4" t="str">
        <x:v>ROUND nửa lên mỗi đoạn; 0 Wh không sinh dòng. Ngày cuối 00:00 đọc theo JSON/Dau vao.</x:v>
      </x:c>
    </x:row>
    <x:row r="6" ht="42" customHeight="1">
      <x:c r="A6" s="6" t="str">
        <x:v>Ca</x:v>
      </x:c>
      <x:c r="B6" s="6" t="str">
        <x:v>Ngày local</x:v>
      </x:c>
      <x:c r="C6" s="6" t="str">
        <x:v>Từ</x:v>
      </x:c>
      <x:c r="D6" s="6" t="str">
        <x:v>Đến</x:v>
      </x:c>
      <x:c r="E6" s="6" t="str">
        <x:v>Wh</x:v>
      </x:c>
      <x:c r="F6" s="6" t="str">
        <x:v>đ/kWh</x:v>
      </x:c>
      <x:c r="G6" s="6" t="str">
        <x:v>Nhãn khung</x:v>
      </x:c>
      <x:c r="H6" s="6" t="str">
        <x:v>Nội suy</x:v>
      </x:c>
      <x:c r="I6" s="6" t="str">
        <x:v>Tiền chưa tròn</x:v>
      </x:c>
      <x:c r="J6" s="6" t="str">
        <x:v>Tiền ROUND</x:v>
      </x:c>
      <x:c r="K6" s="6" t="str">
        <x:v>Đáp án cố định</x:v>
      </x:c>
      <x:c r="L6" s="6" t="str">
        <x:v>Lệch (đ)</x:v>
      </x:c>
    </x:row>
    <x:row r="7" ht="30" customHeight="1">
      <x:c r="A7" s="2" t="str">
        <x:v>KT-01</x:v>
      </x:c>
      <x:c r="B7" s="2" t="str">
        <x:v>2026-10-10</x:v>
      </x:c>
      <x:c r="C7" s="2" t="str">
        <x:v>10:00:00</x:v>
      </x:c>
      <x:c r="D7" s="2" t="str">
        <x:v>11:00:00</x:v>
      </x:c>
      <x:c r="E7" s="8" t="n">
        <x:v>2000</x:v>
      </x:c>
      <x:c r="F7" s="8" t="n">
        <x:v>3000</x:v>
      </x:c>
      <x:c r="G7" s="2" t="str">
        <x:v>Ban ngay</x:v>
      </x:c>
      <x:c r="H7" s="2" t="str">
        <x:v>Không</x:v>
      </x:c>
      <x:c r="I7" s="9" t="n">
        <x:f>E7*F7/1000</x:f>
        <x:v>6000</x:v>
      </x:c>
      <x:c r="J7" s="8" t="n">
        <x:f>ROUND(I7,0)</x:f>
        <x:v>6000</x:v>
      </x:c>
      <x:c r="K7" s="8" t="n">
        <x:v>6000</x:v>
      </x:c>
      <x:c r="L7" s="8" t="n">
        <x:f>J7-K7</x:f>
        <x:v>0</x:v>
      </x:c>
    </x:row>
    <x:row r="8" ht="30" customHeight="1">
      <x:c r="A8" s="2" t="str">
        <x:v>KT-02</x:v>
      </x:c>
      <x:c r="B8" s="2" t="str">
        <x:v>2026-10-10</x:v>
      </x:c>
      <x:c r="C8" s="2" t="str">
        <x:v>21:30:00</x:v>
      </x:c>
      <x:c r="D8" s="2" t="str">
        <x:v>22:00:00</x:v>
      </x:c>
      <x:c r="E8" s="8" t="n">
        <x:v>5000</x:v>
      </x:c>
      <x:c r="F8" s="8" t="n">
        <x:v>3000</x:v>
      </x:c>
      <x:c r="G8" s="2" t="str">
        <x:v>Ban ngay</x:v>
      </x:c>
      <x:c r="H8" s="2" t="str">
        <x:v>Có</x:v>
      </x:c>
      <x:c r="I8" s="9" t="n">
        <x:f>E8*F8/1000</x:f>
        <x:v>15000</x:v>
      </x:c>
      <x:c r="J8" s="8" t="n">
        <x:f>ROUND(I8,0)</x:f>
        <x:v>15000</x:v>
      </x:c>
      <x:c r="K8" s="8" t="n">
        <x:v>15000</x:v>
      </x:c>
      <x:c r="L8" s="8" t="n">
        <x:f>J8-K8</x:f>
        <x:v>0</x:v>
      </x:c>
    </x:row>
    <x:row r="9" ht="30" customHeight="1">
      <x:c r="A9" s="2" t="str">
        <x:v>KT-02</x:v>
      </x:c>
      <x:c r="B9" s="2" t="str">
        <x:v>2026-10-10</x:v>
      </x:c>
      <x:c r="C9" s="2" t="str">
        <x:v>22:00:00</x:v>
      </x:c>
      <x:c r="D9" s="2" t="str">
        <x:v>23:30:00</x:v>
      </x:c>
      <x:c r="E9" s="8" t="n">
        <x:v>15000</x:v>
      </x:c>
      <x:c r="F9" s="8" t="n">
        <x:v>2000</x:v>
      </x:c>
      <x:c r="G9" s="2" t="str">
        <x:v>Dem muon</x:v>
      </x:c>
      <x:c r="H9" s="2" t="str">
        <x:v>Có</x:v>
      </x:c>
      <x:c r="I9" s="9" t="n">
        <x:f>E9*F9/1000</x:f>
        <x:v>30000</x:v>
      </x:c>
      <x:c r="J9" s="8" t="n">
        <x:f>ROUND(I9,0)</x:f>
        <x:v>30000</x:v>
      </x:c>
      <x:c r="K9" s="8" t="n">
        <x:v>30000</x:v>
      </x:c>
      <x:c r="L9" s="8" t="n">
        <x:f>J9-K9</x:f>
        <x:v>0</x:v>
      </x:c>
    </x:row>
    <x:row r="10" ht="30" customHeight="1">
      <x:c r="A10" s="2" t="str">
        <x:v>KT-03</x:v>
      </x:c>
      <x:c r="B10" s="2" t="str">
        <x:v>2026-10-10</x:v>
      </x:c>
      <x:c r="C10" s="2" t="str">
        <x:v>23:00:00</x:v>
      </x:c>
      <x:c r="D10" s="2" t="str">
        <x:v>00:00:00</x:v>
      </x:c>
      <x:c r="E10" s="8" t="n">
        <x:v>5000</x:v>
      </x:c>
      <x:c r="F10" s="8" t="n">
        <x:v>2000</x:v>
      </x:c>
      <x:c r="G10" s="2" t="str">
        <x:v>Dem muon</x:v>
      </x:c>
      <x:c r="H10" s="2" t="str">
        <x:v>Có</x:v>
      </x:c>
      <x:c r="I10" s="9" t="n">
        <x:f>E10*F10/1000</x:f>
        <x:v>10000</x:v>
      </x:c>
      <x:c r="J10" s="8" t="n">
        <x:f>ROUND(I10,0)</x:f>
        <x:v>10000</x:v>
      </x:c>
      <x:c r="K10" s="8" t="n">
        <x:v>10000</x:v>
      </x:c>
      <x:c r="L10" s="8" t="n">
        <x:f>J10-K10</x:f>
        <x:v>0</x:v>
      </x:c>
    </x:row>
    <x:row r="11" ht="30" customHeight="1">
      <x:c r="A11" s="2" t="str">
        <x:v>KT-03</x:v>
      </x:c>
      <x:c r="B11" s="2" t="str">
        <x:v>2026-10-11</x:v>
      </x:c>
      <x:c r="C11" s="2" t="str">
        <x:v>00:00:00</x:v>
      </x:c>
      <x:c r="D11" s="2" t="str">
        <x:v>01:00:00</x:v>
      </x:c>
      <x:c r="E11" s="8" t="n">
        <x:v>5000</x:v>
      </x:c>
      <x:c r="F11" s="8" t="n">
        <x:v>2500</x:v>
      </x:c>
      <x:c r="G11" s="2" t="str">
        <x:v>Dem som</x:v>
      </x:c>
      <x:c r="H11" s="2" t="str">
        <x:v>Có</x:v>
      </x:c>
      <x:c r="I11" s="9" t="n">
        <x:f>E11*F11/1000</x:f>
        <x:v>12500</x:v>
      </x:c>
      <x:c r="J11" s="8" t="n">
        <x:f>ROUND(I11,0)</x:f>
        <x:v>12500</x:v>
      </x:c>
      <x:c r="K11" s="8" t="n">
        <x:v>12500</x:v>
      </x:c>
      <x:c r="L11" s="8" t="n">
        <x:f>J11-K11</x:f>
        <x:v>0</x:v>
      </x:c>
    </x:row>
    <x:row r="12" ht="30" customHeight="1">
      <x:c r="A12" s="2" t="str">
        <x:v>KT-04</x:v>
      </x:c>
      <x:c r="B12" s="2" t="str">
        <x:v>2026-10-10</x:v>
      </x:c>
      <x:c r="C12" s="2" t="str">
        <x:v>22:00:00</x:v>
      </x:c>
      <x:c r="D12" s="2" t="str">
        <x:v>23:00:00</x:v>
      </x:c>
      <x:c r="E12" s="8" t="n">
        <x:v>1000</x:v>
      </x:c>
      <x:c r="F12" s="8" t="n">
        <x:v>2000</x:v>
      </x:c>
      <x:c r="G12" s="2" t="str">
        <x:v>Dem muon</x:v>
      </x:c>
      <x:c r="H12" s="2" t="str">
        <x:v>Không</x:v>
      </x:c>
      <x:c r="I12" s="9" t="n">
        <x:f>E12*F12/1000</x:f>
        <x:v>2000</x:v>
      </x:c>
      <x:c r="J12" s="8" t="n">
        <x:f>ROUND(I12,0)</x:f>
        <x:v>2000</x:v>
      </x:c>
      <x:c r="K12" s="8" t="n">
        <x:v>2000</x:v>
      </x:c>
      <x:c r="L12" s="8" t="n">
        <x:f>J12-K12</x:f>
        <x:v>0</x:v>
      </x:c>
    </x:row>
    <x:row r="13" ht="30" customHeight="1">
      <x:c r="A13" s="2" t="str">
        <x:v>KT-05</x:v>
      </x:c>
      <x:c r="B13" s="2" t="str">
        <x:v>2026-10-10</x:v>
      </x:c>
      <x:c r="C13" s="2" t="str">
        <x:v>21:00:00</x:v>
      </x:c>
      <x:c r="D13" s="2" t="str">
        <x:v>22:00:00</x:v>
      </x:c>
      <x:c r="E13" s="8" t="n">
        <x:v>1000</x:v>
      </x:c>
      <x:c r="F13" s="8" t="n">
        <x:v>3000</x:v>
      </x:c>
      <x:c r="G13" s="2" t="str">
        <x:v>Ban ngay</x:v>
      </x:c>
      <x:c r="H13" s="2" t="str">
        <x:v>Không</x:v>
      </x:c>
      <x:c r="I13" s="9" t="n">
        <x:f>E13*F13/1000</x:f>
        <x:v>3000</x:v>
      </x:c>
      <x:c r="J13" s="8" t="n">
        <x:f>ROUND(I13,0)</x:f>
        <x:v>3000</x:v>
      </x:c>
      <x:c r="K13" s="8" t="n">
        <x:v>3000</x:v>
      </x:c>
      <x:c r="L13" s="8" t="n">
        <x:f>J13-K13</x:f>
        <x:v>0</x:v>
      </x:c>
    </x:row>
    <x:row r="14" ht="30" customHeight="1">
      <x:c r="A14" s="2" t="str">
        <x:v>KT-06</x:v>
      </x:c>
      <x:c r="B14" s="2" t="str">
        <x:v>2026-10-10</x:v>
      </x:c>
      <x:c r="C14" s="2" t="str">
        <x:v>05:30:00</x:v>
      </x:c>
      <x:c r="D14" s="2" t="str">
        <x:v>06:00:00</x:v>
      </x:c>
      <x:c r="E14" s="8" t="n">
        <x:v>600</x:v>
      </x:c>
      <x:c r="F14" s="8" t="n">
        <x:v>2000</x:v>
      </x:c>
      <x:c r="G14" s="2" t="str">
        <x:v>Dem som</x:v>
      </x:c>
      <x:c r="H14" s="2" t="str">
        <x:v>Có</x:v>
      </x:c>
      <x:c r="I14" s="9" t="n">
        <x:f>E14*F14/1000</x:f>
        <x:v>1200</x:v>
      </x:c>
      <x:c r="J14" s="8" t="n">
        <x:f>ROUND(I14,0)</x:f>
        <x:v>1200</x:v>
      </x:c>
      <x:c r="K14" s="8" t="n">
        <x:v>1200</x:v>
      </x:c>
      <x:c r="L14" s="8" t="n">
        <x:f>J14-K14</x:f>
        <x:v>0</x:v>
      </x:c>
    </x:row>
    <x:row r="15" ht="30" customHeight="1">
      <x:c r="A15" s="2" t="str">
        <x:v>KT-06</x:v>
      </x:c>
      <x:c r="B15" s="2" t="str">
        <x:v>2026-10-10</x:v>
      </x:c>
      <x:c r="C15" s="2" t="str">
        <x:v>06:00:00</x:v>
      </x:c>
      <x:c r="D15" s="2" t="str">
        <x:v>06:30:00</x:v>
      </x:c>
      <x:c r="E15" s="8" t="n">
        <x:v>600</x:v>
      </x:c>
      <x:c r="F15" s="8" t="n">
        <x:v>3000</x:v>
      </x:c>
      <x:c r="G15" s="2" t="str">
        <x:v>Ban ngay</x:v>
      </x:c>
      <x:c r="H15" s="2" t="str">
        <x:v>Có</x:v>
      </x:c>
      <x:c r="I15" s="9" t="n">
        <x:f>E15*F15/1000</x:f>
        <x:v>1800</x:v>
      </x:c>
      <x:c r="J15" s="8" t="n">
        <x:f>ROUND(I15,0)</x:f>
        <x:v>1800</x:v>
      </x:c>
      <x:c r="K15" s="8" t="n">
        <x:v>1800</x:v>
      </x:c>
      <x:c r="L15" s="8" t="n">
        <x:f>J15-K15</x:f>
        <x:v>0</x:v>
      </x:c>
    </x:row>
    <x:row r="16" ht="30" customHeight="1">
      <x:c r="A16" s="2" t="str">
        <x:v>KT-07</x:v>
      </x:c>
      <x:c r="B16" s="2" t="str">
        <x:v>2026-10-10</x:v>
      </x:c>
      <x:c r="C16" s="2" t="str">
        <x:v>05:00:00</x:v>
      </x:c>
      <x:c r="D16" s="2" t="str">
        <x:v>06:00:00</x:v>
      </x:c>
      <x:c r="E16" s="8" t="n">
        <x:v>1000</x:v>
      </x:c>
      <x:c r="F16" s="8" t="n">
        <x:v>2000</x:v>
      </x:c>
      <x:c r="G16" s="2" t="str">
        <x:v>Dem som</x:v>
      </x:c>
      <x:c r="H16" s="2" t="str">
        <x:v>Có</x:v>
      </x:c>
      <x:c r="I16" s="9" t="n">
        <x:f>E16*F16/1000</x:f>
        <x:v>2000</x:v>
      </x:c>
      <x:c r="J16" s="8" t="n">
        <x:f>ROUND(I16,0)</x:f>
        <x:v>2000</x:v>
      </x:c>
      <x:c r="K16" s="8" t="n">
        <x:v>2000</x:v>
      </x:c>
      <x:c r="L16" s="8" t="n">
        <x:f>J16-K16</x:f>
        <x:v>0</x:v>
      </x:c>
    </x:row>
    <x:row r="17" ht="30" customHeight="1">
      <x:c r="A17" s="2" t="str">
        <x:v>KT-07</x:v>
      </x:c>
      <x:c r="B17" s="2" t="str">
        <x:v>2026-10-10</x:v>
      </x:c>
      <x:c r="C17" s="2" t="str">
        <x:v>06:00:00</x:v>
      </x:c>
      <x:c r="D17" s="2" t="str">
        <x:v>22:00:00</x:v>
      </x:c>
      <x:c r="E17" s="8" t="n">
        <x:v>16000</x:v>
      </x:c>
      <x:c r="F17" s="8" t="n">
        <x:v>3000</x:v>
      </x:c>
      <x:c r="G17" s="2" t="str">
        <x:v>Ban ngay</x:v>
      </x:c>
      <x:c r="H17" s="2" t="str">
        <x:v>Có</x:v>
      </x:c>
      <x:c r="I17" s="9" t="n">
        <x:f>E17*F17/1000</x:f>
        <x:v>48000</x:v>
      </x:c>
      <x:c r="J17" s="8" t="n">
        <x:f>ROUND(I17,0)</x:f>
        <x:v>48000</x:v>
      </x:c>
      <x:c r="K17" s="8" t="n">
        <x:v>48000</x:v>
      </x:c>
      <x:c r="L17" s="8" t="n">
        <x:f>J17-K17</x:f>
        <x:v>0</x:v>
      </x:c>
    </x:row>
    <x:row r="18" ht="30" customHeight="1">
      <x:c r="A18" s="2" t="str">
        <x:v>KT-07</x:v>
      </x:c>
      <x:c r="B18" s="2" t="str">
        <x:v>2026-10-10</x:v>
      </x:c>
      <x:c r="C18" s="2" t="str">
        <x:v>22:00:00</x:v>
      </x:c>
      <x:c r="D18" s="2" t="str">
        <x:v>23:00:00</x:v>
      </x:c>
      <x:c r="E18" s="8" t="n">
        <x:v>1000</x:v>
      </x:c>
      <x:c r="F18" s="8" t="n">
        <x:v>2000</x:v>
      </x:c>
      <x:c r="G18" s="2" t="str">
        <x:v>Dem muon</x:v>
      </x:c>
      <x:c r="H18" s="2" t="str">
        <x:v>Có</x:v>
      </x:c>
      <x:c r="I18" s="9" t="n">
        <x:f>E18*F18/1000</x:f>
        <x:v>2000</x:v>
      </x:c>
      <x:c r="J18" s="8" t="n">
        <x:f>ROUND(I18,0)</x:f>
        <x:v>2000</x:v>
      </x:c>
      <x:c r="K18" s="8" t="n">
        <x:v>2000</x:v>
      </x:c>
      <x:c r="L18" s="8" t="n">
        <x:f>J18-K18</x:f>
        <x:v>0</x:v>
      </x:c>
    </x:row>
    <x:row r="19" ht="30" customHeight="1">
      <x:c r="A19" s="2" t="str">
        <x:v>KT-08</x:v>
      </x:c>
      <x:c r="B19" s="2" t="str">
        <x:v>2026-10-10</x:v>
      </x:c>
      <x:c r="C19" s="2" t="str">
        <x:v>21:30:00</x:v>
      </x:c>
      <x:c r="D19" s="2" t="str">
        <x:v>22:00:00</x:v>
      </x:c>
      <x:c r="E19" s="8" t="n">
        <x:v>600</x:v>
      </x:c>
      <x:c r="F19" s="8" t="n">
        <x:v>3000</x:v>
      </x:c>
      <x:c r="G19" s="2" t="str">
        <x:v>Ban ngay</x:v>
      </x:c>
      <x:c r="H19" s="2" t="str">
        <x:v>Có</x:v>
      </x:c>
      <x:c r="I19" s="9" t="n">
        <x:f>E19*F19/1000</x:f>
        <x:v>1800</x:v>
      </x:c>
      <x:c r="J19" s="8" t="n">
        <x:f>ROUND(I19,0)</x:f>
        <x:v>1800</x:v>
      </x:c>
      <x:c r="K19" s="8" t="n">
        <x:v>1800</x:v>
      </x:c>
      <x:c r="L19" s="8" t="n">
        <x:f>J19-K19</x:f>
        <x:v>0</x:v>
      </x:c>
    </x:row>
    <x:row r="20" ht="30" customHeight="1">
      <x:c r="A20" s="2" t="str">
        <x:v>KT-08</x:v>
      </x:c>
      <x:c r="B20" s="2" t="str">
        <x:v>2026-10-10</x:v>
      </x:c>
      <x:c r="C20" s="2" t="str">
        <x:v>22:00:00</x:v>
      </x:c>
      <x:c r="D20" s="2" t="str">
        <x:v>22:30:00</x:v>
      </x:c>
      <x:c r="E20" s="8" t="n">
        <x:v>900</x:v>
      </x:c>
      <x:c r="F20" s="8" t="n">
        <x:v>2000</x:v>
      </x:c>
      <x:c r="G20" s="2" t="str">
        <x:v>Dem muon</x:v>
      </x:c>
      <x:c r="H20" s="2" t="str">
        <x:v>Có</x:v>
      </x:c>
      <x:c r="I20" s="9" t="n">
        <x:f>E20*F20/1000</x:f>
        <x:v>1800</x:v>
      </x:c>
      <x:c r="J20" s="8" t="n">
        <x:f>ROUND(I20,0)</x:f>
        <x:v>1800</x:v>
      </x:c>
      <x:c r="K20" s="8" t="n">
        <x:v>1800</x:v>
      </x:c>
      <x:c r="L20" s="8" t="n">
        <x:f>J20-K20</x:f>
        <x:v>0</x:v>
      </x:c>
    </x:row>
    <x:row r="21" ht="30" customHeight="1">
      <x:c r="A21" s="2" t="str">
        <x:v>KT-09</x:v>
      </x:c>
      <x:c r="B21" s="2" t="str">
        <x:v>2026-10-10</x:v>
      </x:c>
      <x:c r="C21" s="2" t="str">
        <x:v>21:30:00</x:v>
      </x:c>
      <x:c r="D21" s="2" t="str">
        <x:v>22:00:00</x:v>
      </x:c>
      <x:c r="E21" s="8" t="n">
        <x:v>3</x:v>
      </x:c>
      <x:c r="F21" s="8" t="n">
        <x:v>3000</x:v>
      </x:c>
      <x:c r="G21" s="2" t="str">
        <x:v>Ban ngay</x:v>
      </x:c>
      <x:c r="H21" s="2" t="str">
        <x:v>Có</x:v>
      </x:c>
      <x:c r="I21" s="9" t="n">
        <x:f>E21*F21/1000</x:f>
        <x:v>9</x:v>
      </x:c>
      <x:c r="J21" s="8" t="n">
        <x:f>ROUND(I21,0)</x:f>
        <x:v>9</x:v>
      </x:c>
      <x:c r="K21" s="8" t="n">
        <x:v>9</x:v>
      </x:c>
      <x:c r="L21" s="8" t="n">
        <x:f>J21-K21</x:f>
        <x:v>0</x:v>
      </x:c>
    </x:row>
    <x:row r="22" ht="30" customHeight="1">
      <x:c r="A22" s="2" t="str">
        <x:v>KT-09</x:v>
      </x:c>
      <x:c r="B22" s="2" t="str">
        <x:v>2026-10-10</x:v>
      </x:c>
      <x:c r="C22" s="2" t="str">
        <x:v>22:00:00</x:v>
      </x:c>
      <x:c r="D22" s="2" t="str">
        <x:v>22:30:00</x:v>
      </x:c>
      <x:c r="E22" s="8" t="n">
        <x:v>2</x:v>
      </x:c>
      <x:c r="F22" s="8" t="n">
        <x:v>2000</x:v>
      </x:c>
      <x:c r="G22" s="2" t="str">
        <x:v>Dem muon</x:v>
      </x:c>
      <x:c r="H22" s="2" t="str">
        <x:v>Có</x:v>
      </x:c>
      <x:c r="I22" s="9" t="n">
        <x:f>E22*F22/1000</x:f>
        <x:v>4</x:v>
      </x:c>
      <x:c r="J22" s="8" t="n">
        <x:f>ROUND(I22,0)</x:f>
        <x:v>4</x:v>
      </x:c>
      <x:c r="K22" s="8" t="n">
        <x:v>4</x:v>
      </x:c>
      <x:c r="L22" s="8" t="n">
        <x:f>J22-K22</x:f>
        <x:v>0</x:v>
      </x:c>
    </x:row>
    <x:row r="23" ht="30" customHeight="1">
      <x:c r="A23" s="2" t="str">
        <x:v>KT-10</x:v>
      </x:c>
      <x:c r="B23" s="2" t="str">
        <x:v>2026-10-10</x:v>
      </x:c>
      <x:c r="C23" s="2" t="str">
        <x:v>23:00:00</x:v>
      </x:c>
      <x:c r="D23" s="2" t="str">
        <x:v>23:01:00</x:v>
      </x:c>
      <x:c r="E23" s="8" t="n">
        <x:v>1</x:v>
      </x:c>
      <x:c r="F23" s="8" t="n">
        <x:v>2500</x:v>
      </x:c>
      <x:c r="G23" s="2" t="str">
        <x:v>Dem muon</x:v>
      </x:c>
      <x:c r="H23" s="2" t="str">
        <x:v>Không</x:v>
      </x:c>
      <x:c r="I23" s="9" t="n">
        <x:f>E23*F23/1000</x:f>
        <x:v>2.5</x:v>
      </x:c>
      <x:c r="J23" s="8" t="n">
        <x:f>ROUND(I23,0)</x:f>
        <x:v>3</x:v>
      </x:c>
      <x:c r="K23" s="8" t="n">
        <x:v>3</x:v>
      </x:c>
      <x:c r="L23" s="8" t="n">
        <x:f>J23-K23</x:f>
        <x:v>0</x:v>
      </x:c>
    </x:row>
    <x:row r="24" ht="30" customHeight="1">
      <x:c r="A24" s="2" t="str">
        <x:v>KT-11</x:v>
      </x:c>
      <x:c r="B24" s="2" t="str">
        <x:v>2026-10-10</x:v>
      </x:c>
      <x:c r="C24" s="2" t="str">
        <x:v>21:30:00</x:v>
      </x:c>
      <x:c r="D24" s="2" t="str">
        <x:v>22:00:00</x:v>
      </x:c>
      <x:c r="E24" s="8" t="n">
        <x:v>1</x:v>
      </x:c>
      <x:c r="F24" s="8" t="n">
        <x:v>2500</x:v>
      </x:c>
      <x:c r="G24" s="2" t="str">
        <x:v>Ban ngay</x:v>
      </x:c>
      <x:c r="H24" s="2" t="str">
        <x:v>Có</x:v>
      </x:c>
      <x:c r="I24" s="9" t="n">
        <x:f>E24*F24/1000</x:f>
        <x:v>2.5</x:v>
      </x:c>
      <x:c r="J24" s="8" t="n">
        <x:f>ROUND(I24,0)</x:f>
        <x:v>3</x:v>
      </x:c>
      <x:c r="K24" s="8" t="n">
        <x:v>3</x:v>
      </x:c>
      <x:c r="L24" s="8" t="n">
        <x:f>J24-K24</x:f>
        <x:v>0</x:v>
      </x:c>
    </x:row>
    <x:row r="25" ht="30" customHeight="1">
      <x:c r="A25" s="2" t="str">
        <x:v>KT-11</x:v>
      </x:c>
      <x:c r="B25" s="2" t="str">
        <x:v>2026-10-10</x:v>
      </x:c>
      <x:c r="C25" s="2" t="str">
        <x:v>22:00:00</x:v>
      </x:c>
      <x:c r="D25" s="2" t="str">
        <x:v>22:30:00</x:v>
      </x:c>
      <x:c r="E25" s="8" t="n">
        <x:v>1</x:v>
      </x:c>
      <x:c r="F25" s="8" t="n">
        <x:v>2500</x:v>
      </x:c>
      <x:c r="G25" s="2" t="str">
        <x:v>Dem muon</x:v>
      </x:c>
      <x:c r="H25" s="2" t="str">
        <x:v>Có</x:v>
      </x:c>
      <x:c r="I25" s="9" t="n">
        <x:f>E25*F25/1000</x:f>
        <x:v>2.5</x:v>
      </x:c>
      <x:c r="J25" s="8" t="n">
        <x:f>ROUND(I25,0)</x:f>
        <x:v>3</x:v>
      </x:c>
      <x:c r="K25" s="8" t="n">
        <x:v>3</x:v>
      </x:c>
      <x:c r="L25" s="8" t="n">
        <x:f>J25-K25</x:f>
        <x:v>0</x:v>
      </x:c>
    </x:row>
    <x:row r="26" ht="30" customHeight="1">
      <x:c r="A26" s="2" t="str">
        <x:v>KT-13</x:v>
      </x:c>
      <x:c r="B26" s="2" t="str">
        <x:v>2026-10-10</x:v>
      </x:c>
      <x:c r="C26" s="2" t="str">
        <x:v>10:00:00</x:v>
      </x:c>
      <x:c r="D26" s="2" t="str">
        <x:v>11:00:00</x:v>
      </x:c>
      <x:c r="E26" s="8" t="n">
        <x:v>1000</x:v>
      </x:c>
      <x:c r="F26" s="8" t="n">
        <x:v>3000</x:v>
      </x:c>
      <x:c r="G26" s="2" t="str">
        <x:v>Ban ngay</x:v>
      </x:c>
      <x:c r="H26" s="2" t="str">
        <x:v>Không</x:v>
      </x:c>
      <x:c r="I26" s="9" t="n">
        <x:f>E26*F26/1000</x:f>
        <x:v>3000</x:v>
      </x:c>
      <x:c r="J26" s="8" t="n">
        <x:f>ROUND(I26,0)</x:f>
        <x:v>3000</x:v>
      </x:c>
      <x:c r="K26" s="8" t="n">
        <x:v>3000</x:v>
      </x:c>
      <x:c r="L26" s="8" t="n">
        <x:f>J26-K26</x:f>
        <x:v>0</x:v>
      </x:c>
    </x:row>
    <x:row r="27" ht="30" customHeight="1">
      <x:c r="A27" s="2" t="str">
        <x:v>KT-14</x:v>
      </x:c>
      <x:c r="B27" s="2" t="str">
        <x:v>2026-10-10</x:v>
      </x:c>
      <x:c r="C27" s="2" t="str">
        <x:v>10:00:00</x:v>
      </x:c>
      <x:c r="D27" s="2" t="str">
        <x:v>11:00:00</x:v>
      </x:c>
      <x:c r="E27" s="8" t="n">
        <x:v>1000</x:v>
      </x:c>
      <x:c r="F27" s="8" t="n">
        <x:v>3000</x:v>
      </x:c>
      <x:c r="G27" s="2" t="str">
        <x:v>Ban ngay</x:v>
      </x:c>
      <x:c r="H27" s="2" t="str">
        <x:v>Không</x:v>
      </x:c>
      <x:c r="I27" s="9" t="n">
        <x:f>E27*F27/1000</x:f>
        <x:v>3000</x:v>
      </x:c>
      <x:c r="J27" s="8" t="n">
        <x:f>ROUND(I27,0)</x:f>
        <x:v>3000</x:v>
      </x:c>
      <x:c r="K27" s="8" t="n">
        <x:v>3000</x:v>
      </x:c>
      <x:c r="L27" s="8" t="n">
        <x:f>J27-K27</x:f>
        <x:v>0</x:v>
      </x:c>
    </x:row>
    <x:row r="28" ht="30" customHeight="1">
      <x:c r="A28" s="2" t="str">
        <x:v>KT-15</x:v>
      </x:c>
      <x:c r="B28" s="2" t="str">
        <x:v>2026-10-10</x:v>
      </x:c>
      <x:c r="C28" s="2" t="str">
        <x:v>10:00:00</x:v>
      </x:c>
      <x:c r="D28" s="2" t="str">
        <x:v>11:00:00</x:v>
      </x:c>
      <x:c r="E28" s="8" t="n">
        <x:v>1000</x:v>
      </x:c>
      <x:c r="F28" s="8" t="n">
        <x:v>3000</x:v>
      </x:c>
      <x:c r="G28" s="2" t="str">
        <x:v>Ban ngay</x:v>
      </x:c>
      <x:c r="H28" s="2" t="str">
        <x:v>Không</x:v>
      </x:c>
      <x:c r="I28" s="9" t="n">
        <x:f>E28*F28/1000</x:f>
        <x:v>3000</x:v>
      </x:c>
      <x:c r="J28" s="8" t="n">
        <x:f>ROUND(I28,0)</x:f>
        <x:v>3000</x:v>
      </x:c>
      <x:c r="K28" s="8" t="n">
        <x:v>3000</x:v>
      </x:c>
      <x:c r="L28" s="8" t="n">
        <x:f>J28-K28</x:f>
        <x:v>0</x:v>
      </x:c>
    </x:row>
    <x:row r="29" ht="30" customHeight="1">
      <x:c r="A29" s="2" t="str">
        <x:v>KT-16</x:v>
      </x:c>
      <x:c r="B29" s="2" t="str">
        <x:v>2026-10-10</x:v>
      </x:c>
      <x:c r="C29" s="2" t="str">
        <x:v>23:00:00</x:v>
      </x:c>
      <x:c r="D29" s="2" t="str">
        <x:v>00:00:00</x:v>
      </x:c>
      <x:c r="E29" s="8" t="n">
        <x:v>1000</x:v>
      </x:c>
      <x:c r="F29" s="8" t="n">
        <x:v>2000</x:v>
      </x:c>
      <x:c r="G29" s="2" t="str">
        <x:v>Dem muon</x:v>
      </x:c>
      <x:c r="H29" s="2" t="str">
        <x:v>Không</x:v>
      </x:c>
      <x:c r="I29" s="9" t="n">
        <x:f>E29*F29/1000</x:f>
        <x:v>2000</x:v>
      </x:c>
      <x:c r="J29" s="8" t="n">
        <x:f>ROUND(I29,0)</x:f>
        <x:v>2000</x:v>
      </x:c>
      <x:c r="K29" s="8" t="n">
        <x:v>2000</x:v>
      </x:c>
      <x:c r="L29" s="8" t="n">
        <x:f>J29-K29</x:f>
        <x:v>0</x:v>
      </x:c>
    </x:row>
    <x:row r="30" ht="30" customHeight="1">
      <x:c r="A30" s="2" t="str">
        <x:v>KT-17</x:v>
      </x:c>
      <x:c r="B30" s="2" t="str">
        <x:v>2026-10-10</x:v>
      </x:c>
      <x:c r="C30" s="2" t="str">
        <x:v>10:00:00</x:v>
      </x:c>
      <x:c r="D30" s="2" t="str">
        <x:v>11:00:00</x:v>
      </x:c>
      <x:c r="E30" s="8" t="n">
        <x:v>1000</x:v>
      </x:c>
      <x:c r="F30" s="8" t="n">
        <x:v>3000</x:v>
      </x:c>
      <x:c r="G30" s="2" t="str">
        <x:v>Ban ngay</x:v>
      </x:c>
      <x:c r="H30" s="2" t="str">
        <x:v>Không</x:v>
      </x:c>
      <x:c r="I30" s="9" t="n">
        <x:f>E30*F30/1000</x:f>
        <x:v>3000</x:v>
      </x:c>
      <x:c r="J30" s="8" t="n">
        <x:f>ROUND(I30,0)</x:f>
        <x:v>3000</x:v>
      </x:c>
      <x:c r="K30" s="8" t="n">
        <x:v>3000</x:v>
      </x:c>
      <x:c r="L30" s="8" t="n">
        <x:f>J30-K30</x:f>
        <x:v>0</x:v>
      </x:c>
    </x:row>
    <x:row r="31" ht="30" customHeight="1">
      <x:c r="A31" s="2" t="str">
        <x:v>KT-18</x:v>
      </x:c>
      <x:c r="B31" s="2" t="str">
        <x:v>2026-10-10</x:v>
      </x:c>
      <x:c r="C31" s="2" t="str">
        <x:v>10:00:00</x:v>
      </x:c>
      <x:c r="D31" s="2" t="str">
        <x:v>11:00:00</x:v>
      </x:c>
      <x:c r="E31" s="8" t="n">
        <x:v>1000</x:v>
      </x:c>
      <x:c r="F31" s="8" t="n">
        <x:v>3000</x:v>
      </x:c>
      <x:c r="G31" s="2" t="str">
        <x:v>Ban ngay</x:v>
      </x:c>
      <x:c r="H31" s="2" t="str">
        <x:v>Không</x:v>
      </x:c>
      <x:c r="I31" s="9" t="n">
        <x:f>E31*F31/1000</x:f>
        <x:v>3000</x:v>
      </x:c>
      <x:c r="J31" s="8" t="n">
        <x:f>ROUND(I31,0)</x:f>
        <x:v>3000</x:v>
      </x:c>
      <x:c r="K31" s="8" t="n">
        <x:v>3000</x:v>
      </x:c>
      <x:c r="L31" s="8" t="n">
        <x:f>J31-K31</x:f>
        <x:v>0</x:v>
      </x:c>
    </x:row>
    <x:row r="32" ht="30" customHeight="1">
      <x:c r="A32" s="2" t="str">
        <x:v>KT-19</x:v>
      </x:c>
      <x:c r="B32" s="2" t="str">
        <x:v>2026-10-10</x:v>
      </x:c>
      <x:c r="C32" s="2" t="str">
        <x:v>23:00:00</x:v>
      </x:c>
      <x:c r="D32" s="2" t="str">
        <x:v>00:00:00</x:v>
      </x:c>
      <x:c r="E32" s="8" t="n">
        <x:v>1000</x:v>
      </x:c>
      <x:c r="F32" s="8" t="n">
        <x:v>2000</x:v>
      </x:c>
      <x:c r="G32" s="2" t="str">
        <x:v>Dem muon</x:v>
      </x:c>
      <x:c r="H32" s="2" t="str">
        <x:v>Có</x:v>
      </x:c>
      <x:c r="I32" s="9" t="n">
        <x:f>E32*F32/1000</x:f>
        <x:v>2000</x:v>
      </x:c>
      <x:c r="J32" s="8" t="n">
        <x:f>ROUND(I32,0)</x:f>
        <x:v>2000</x:v>
      </x:c>
      <x:c r="K32" s="8" t="n">
        <x:v>2000</x:v>
      </x:c>
      <x:c r="L32" s="8" t="n">
        <x:f>J32-K32</x:f>
        <x:v>0</x:v>
      </x:c>
    </x:row>
    <x:row r="33" ht="30" customHeight="1">
      <x:c r="A33" s="2" t="str">
        <x:v>KT-19</x:v>
      </x:c>
      <x:c r="B33" s="2" t="str">
        <x:v>2026-10-11</x:v>
      </x:c>
      <x:c r="C33" s="2" t="str">
        <x:v>00:00:00</x:v>
      </x:c>
      <x:c r="D33" s="2" t="str">
        <x:v>06:00:00</x:v>
      </x:c>
      <x:c r="E33" s="8" t="n">
        <x:v>6000</x:v>
      </x:c>
      <x:c r="F33" s="8" t="n">
        <x:v>2500</x:v>
      </x:c>
      <x:c r="G33" s="2" t="str">
        <x:v>Dem som</x:v>
      </x:c>
      <x:c r="H33" s="2" t="str">
        <x:v>Có</x:v>
      </x:c>
      <x:c r="I33" s="9" t="n">
        <x:f>E33*F33/1000</x:f>
        <x:v>15000</x:v>
      </x:c>
      <x:c r="J33" s="8" t="n">
        <x:f>ROUND(I33,0)</x:f>
        <x:v>15000</x:v>
      </x:c>
      <x:c r="K33" s="8" t="n">
        <x:v>15000</x:v>
      </x:c>
      <x:c r="L33" s="8" t="n">
        <x:f>J33-K33</x:f>
        <x:v>0</x:v>
      </x:c>
    </x:row>
    <x:row r="34" ht="30" customHeight="1">
      <x:c r="A34" s="2" t="str">
        <x:v>KT-19</x:v>
      </x:c>
      <x:c r="B34" s="2" t="str">
        <x:v>2026-10-11</x:v>
      </x:c>
      <x:c r="C34" s="2" t="str">
        <x:v>06:00:00</x:v>
      </x:c>
      <x:c r="D34" s="2" t="str">
        <x:v>22:00:00</x:v>
      </x:c>
      <x:c r="E34" s="8" t="n">
        <x:v>16000</x:v>
      </x:c>
      <x:c r="F34" s="8" t="n">
        <x:v>3500</x:v>
      </x:c>
      <x:c r="G34" s="2" t="str">
        <x:v>Ban ngay</x:v>
      </x:c>
      <x:c r="H34" s="2" t="str">
        <x:v>Có</x:v>
      </x:c>
      <x:c r="I34" s="9" t="n">
        <x:f>E34*F34/1000</x:f>
        <x:v>56000</x:v>
      </x:c>
      <x:c r="J34" s="8" t="n">
        <x:f>ROUND(I34,0)</x:f>
        <x:v>56000</x:v>
      </x:c>
      <x:c r="K34" s="8" t="n">
        <x:v>56000</x:v>
      </x:c>
      <x:c r="L34" s="8" t="n">
        <x:f>J34-K34</x:f>
        <x:v>0</x:v>
      </x:c>
    </x:row>
    <x:row r="35" ht="30" customHeight="1">
      <x:c r="A35" s="2" t="str">
        <x:v>KT-19</x:v>
      </x:c>
      <x:c r="B35" s="2" t="str">
        <x:v>2026-10-11</x:v>
      </x:c>
      <x:c r="C35" s="2" t="str">
        <x:v>22:00:00</x:v>
      </x:c>
      <x:c r="D35" s="2" t="str">
        <x:v>00:00:00</x:v>
      </x:c>
      <x:c r="E35" s="8" t="n">
        <x:v>2000</x:v>
      </x:c>
      <x:c r="F35" s="8" t="n">
        <x:v>2500</x:v>
      </x:c>
      <x:c r="G35" s="2" t="str">
        <x:v>Dem muon</x:v>
      </x:c>
      <x:c r="H35" s="2" t="str">
        <x:v>Có</x:v>
      </x:c>
      <x:c r="I35" s="9" t="n">
        <x:f>E35*F35/1000</x:f>
        <x:v>5000</x:v>
      </x:c>
      <x:c r="J35" s="8" t="n">
        <x:f>ROUND(I35,0)</x:f>
        <x:v>5000</x:v>
      </x:c>
      <x:c r="K35" s="8" t="n">
        <x:v>5000</x:v>
      </x:c>
      <x:c r="L35" s="8" t="n">
        <x:f>J35-K35</x:f>
        <x:v>0</x:v>
      </x:c>
    </x:row>
    <x:row r="36" ht="30" customHeight="1">
      <x:c r="A36" s="2" t="str">
        <x:v>KT-19</x:v>
      </x:c>
      <x:c r="B36" s="2" t="str">
        <x:v>2026-10-12</x:v>
      </x:c>
      <x:c r="C36" s="2" t="str">
        <x:v>00:00:00</x:v>
      </x:c>
      <x:c r="D36" s="2" t="str">
        <x:v>01:00:00</x:v>
      </x:c>
      <x:c r="E36" s="8" t="n">
        <x:v>1000</x:v>
      </x:c>
      <x:c r="F36" s="8" t="n">
        <x:v>2500</x:v>
      </x:c>
      <x:c r="G36" s="2" t="str">
        <x:v>Dem som</x:v>
      </x:c>
      <x:c r="H36" s="2" t="str">
        <x:v>Có</x:v>
      </x:c>
      <x:c r="I36" s="9" t="n">
        <x:f>E36*F36/1000</x:f>
        <x:v>2500</x:v>
      </x:c>
      <x:c r="J36" s="8" t="n">
        <x:f>ROUND(I36,0)</x:f>
        <x:v>2500</x:v>
      </x:c>
      <x:c r="K36" s="8" t="n">
        <x:v>2500</x:v>
      </x:c>
      <x:c r="L36" s="8" t="n">
        <x:f>J36-K36</x:f>
        <x:v>0</x:v>
      </x:c>
    </x:row>
    <x:row r="37" ht="30" customHeight="1">
      <x:c r="A37" s="2" t="str">
        <x:v>KT-20</x:v>
      </x:c>
      <x:c r="B37" s="2" t="str">
        <x:v>2026-10-10</x:v>
      </x:c>
      <x:c r="C37" s="2" t="str">
        <x:v>23:00:00</x:v>
      </x:c>
      <x:c r="D37" s="2" t="str">
        <x:v>00:00:00</x:v>
      </x:c>
      <x:c r="E37" s="8" t="n">
        <x:v>5000</x:v>
      </x:c>
      <x:c r="F37" s="8" t="n">
        <x:v>2000</x:v>
      </x:c>
      <x:c r="G37" s="2" t="str">
        <x:v>Dem muon</x:v>
      </x:c>
      <x:c r="H37" s="2" t="str">
        <x:v>Có</x:v>
      </x:c>
      <x:c r="I37" s="9" t="n">
        <x:f>E37*F37/1000</x:f>
        <x:v>10000</x:v>
      </x:c>
      <x:c r="J37" s="8" t="n">
        <x:f>ROUND(I37,0)</x:f>
        <x:v>10000</x:v>
      </x:c>
      <x:c r="K37" s="8" t="n">
        <x:v>10000</x:v>
      </x:c>
      <x:c r="L37" s="8" t="n">
        <x:f>J37-K37</x:f>
        <x:v>0</x:v>
      </x:c>
    </x:row>
    <x:row r="38" ht="30" customHeight="1">
      <x:c r="A38" s="2" t="str">
        <x:v>KT-20</x:v>
      </x:c>
      <x:c r="B38" s="2" t="str">
        <x:v>2026-10-11</x:v>
      </x:c>
      <x:c r="C38" s="2" t="str">
        <x:v>00:00:00</x:v>
      </x:c>
      <x:c r="D38" s="2" t="str">
        <x:v>01:00:00</x:v>
      </x:c>
      <x:c r="E38" s="8" t="n">
        <x:v>5000</x:v>
      </x:c>
      <x:c r="F38" s="8" t="n">
        <x:v>2500</x:v>
      </x:c>
      <x:c r="G38" s="2" t="str">
        <x:v>Dem som</x:v>
      </x:c>
      <x:c r="H38" s="2" t="str">
        <x:v>Có</x:v>
      </x:c>
      <x:c r="I38" s="9" t="n">
        <x:f>E38*F38/1000</x:f>
        <x:v>12500</x:v>
      </x:c>
      <x:c r="J38" s="8" t="n">
        <x:f>ROUND(I38,0)</x:f>
        <x:v>12500</x:v>
      </x:c>
      <x:c r="K38" s="8" t="n">
        <x:v>12500</x:v>
      </x:c>
      <x:c r="L38" s="8" t="n">
        <x:f>J38-K38</x:f>
        <x:v>0</x:v>
      </x:c>
    </x:row>
    <x:row r="39" ht="30" customHeight="1">
      <x:c r="A39" s="2" t="str">
        <x:v>KT-21</x:v>
      </x:c>
      <x:c r="B39" s="2" t="str">
        <x:v>2026-10-10</x:v>
      </x:c>
      <x:c r="C39" s="2" t="str">
        <x:v>22:00:00</x:v>
      </x:c>
      <x:c r="D39" s="2" t="str">
        <x:v>22:30:00</x:v>
      </x:c>
      <x:c r="E39" s="8" t="n">
        <x:v>1</x:v>
      </x:c>
      <x:c r="F39" s="8" t="n">
        <x:v>2000</x:v>
      </x:c>
      <x:c r="G39" s="2" t="str">
        <x:v>Dem muon</x:v>
      </x:c>
      <x:c r="H39" s="2" t="str">
        <x:v>Có</x:v>
      </x:c>
      <x:c r="I39" s="9" t="n">
        <x:f>E39*F39/1000</x:f>
        <x:v>2</x:v>
      </x:c>
      <x:c r="J39" s="8" t="n">
        <x:f>ROUND(I39,0)</x:f>
        <x:v>2</x:v>
      </x:c>
      <x:c r="K39" s="8" t="n">
        <x:v>2</x:v>
      </x:c>
      <x:c r="L39" s="8" t="n">
        <x:f>J39-K39</x:f>
        <x:v>0</x:v>
      </x:c>
    </x:row>
    <x:row r="40" ht="30" customHeight="1">
      <x:c r="A40" s="2" t="str">
        <x:v>KT-22</x:v>
      </x:c>
      <x:c r="B40" s="2" t="str">
        <x:v>2026-10-10</x:v>
      </x:c>
      <x:c r="C40" s="2" t="str">
        <x:v>10:00:00</x:v>
      </x:c>
      <x:c r="D40" s="2" t="str">
        <x:v>11:00:00</x:v>
      </x:c>
      <x:c r="E40" s="8" t="n">
        <x:v>1000</x:v>
      </x:c>
      <x:c r="F40" s="8" t="n">
        <x:v>3000</x:v>
      </x:c>
      <x:c r="G40" s="2" t="str">
        <x:v>Ban ngay</x:v>
      </x:c>
      <x:c r="H40" s="2" t="str">
        <x:v>Không</x:v>
      </x:c>
      <x:c r="I40" s="9" t="n">
        <x:f>E40*F40/1000</x:f>
        <x:v>3000</x:v>
      </x:c>
      <x:c r="J40" s="8" t="n">
        <x:f>ROUND(I40,0)</x:f>
        <x:v>3000</x:v>
      </x:c>
      <x:c r="K40" s="8" t="n">
        <x:v>3000</x:v>
      </x:c>
      <x:c r="L40" s="8" t="n">
        <x:f>J40-K40</x:f>
        <x:v>0</x:v>
      </x:c>
    </x:row>
    <x:row r="44" ht="42" customHeight="1">
      <x:c r="A44" s="6" t="str">
        <x:v>Ca</x:v>
      </x:c>
      <x:c r="B44" s="6" t="str">
        <x:v>Từ idle</x:v>
      </x:c>
      <x:c r="C44" s="6" t="str">
        <x:v>Đến idle</x:v>
      </x:c>
      <x:c r="D44" s="6" t="str">
        <x:v>Phút thu</x:v>
      </x:c>
      <x:c r="E44" s="6" t="str">
        <x:v>đ/phút</x:v>
      </x:c>
      <x:c r="F44" s="6" t="str">
        <x:v>Tiền tính</x:v>
      </x:c>
      <x:c r="G44" s="6" t="str">
        <x:v>Đáp án</x:v>
      </x:c>
      <x:c r="H44" s="6" t="str">
        <x:v>Lệch (đ)</x:v>
      </x:c>
    </x:row>
    <x:row r="45" ht="30" customHeight="1">
      <x:c r="A45" s="2" t="str">
        <x:v>KT-13</x:v>
      </x:c>
      <x:c r="B45" s="15" t="d">
        <x:v>2026-10-10T10:55:00.000Z</x:v>
      </x:c>
      <x:c r="C45" s="15" t="d">
        <x:v>2026-10-10T11:00:00.000Z</x:v>
      </x:c>
      <x:c r="D45" s="2" t="n">
        <x:v>5</x:v>
      </x:c>
      <x:c r="E45" s="2" t="n">
        <x:v>200</x:v>
      </x:c>
      <x:c r="F45" s="2" t="n">
        <x:f>D45*E45</x:f>
        <x:v>1000</x:v>
      </x:c>
      <x:c r="G45" s="2" t="n">
        <x:v>1000</x:v>
      </x:c>
      <x:c r="H45" s="2" t="n">
        <x:f>F45-G45</x:f>
        <x:v>0</x:v>
      </x:c>
    </x:row>
    <x:row r="46" ht="30" customHeight="1">
      <x:c r="A46" s="2" t="str">
        <x:v>KT-15</x:v>
      </x:c>
      <x:c r="B46" s="15" t="d">
        <x:v>2026-10-10T10:59:59.000Z</x:v>
      </x:c>
      <x:c r="C46" s="15" t="d">
        <x:v>2026-10-10T11:00:00.000Z</x:v>
      </x:c>
      <x:c r="D46" s="2" t="n">
        <x:v>1</x:v>
      </x:c>
      <x:c r="E46" s="2" t="n">
        <x:v>200</x:v>
      </x:c>
      <x:c r="F46" s="2" t="n">
        <x:f>D46*E46</x:f>
        <x:v>200</x:v>
      </x:c>
      <x:c r="G46" s="2" t="n">
        <x:v>200</x:v>
      </x:c>
      <x:c r="H46" s="2" t="n">
        <x:f>F46-G46</x:f>
        <x:v>0</x:v>
      </x:c>
    </x:row>
    <x:row r="47" ht="30" customHeight="1">
      <x:c r="A47" s="2" t="str">
        <x:v>KT-16</x:v>
      </x:c>
      <x:c r="B47" s="15" t="d">
        <x:v>2026-10-10T23:55:00.000Z</x:v>
      </x:c>
      <x:c r="C47" s="15" t="d">
        <x:v>2026-10-11T00:00:00.000Z</x:v>
      </x:c>
      <x:c r="D47" s="2" t="n">
        <x:v>5</x:v>
      </x:c>
      <x:c r="E47" s="2" t="n">
        <x:v>200</x:v>
      </x:c>
      <x:c r="F47" s="2" t="n">
        <x:f>D47*E47</x:f>
        <x:v>1000</x:v>
      </x:c>
      <x:c r="G47" s="2" t="n">
        <x:v>1000</x:v>
      </x:c>
      <x:c r="H47" s="2" t="n">
        <x:f>F47-G47</x:f>
        <x:v>0</x:v>
      </x:c>
    </x:row>
    <x:row r="48" ht="30" customHeight="1">
      <x:c r="A48" s="2" t="str">
        <x:v>KT-16</x:v>
      </x:c>
      <x:c r="B48" s="15" t="d">
        <x:v>2026-10-11T00:00:00.000Z</x:v>
      </x:c>
      <x:c r="C48" s="15" t="d">
        <x:v>2026-10-11T00:10:19.999Z</x:v>
      </x:c>
      <x:c r="D48" s="2" t="n">
        <x:v>11</x:v>
      </x:c>
      <x:c r="E48" s="2" t="n">
        <x:v>300</x:v>
      </x:c>
      <x:c r="F48" s="2" t="n">
        <x:f>D48*E48</x:f>
        <x:v>3300</x:v>
      </x:c>
      <x:c r="G48" s="2" t="n">
        <x:v>3300</x:v>
      </x:c>
      <x:c r="H48" s="2" t="n">
        <x:f>F48-G48</x:f>
        <x:v>0</x:v>
      </x:c>
    </x:row>
    <x:row r="49" ht="30" customHeight="1">
      <x:c r="A49" s="2" t="str">
        <x:v>KT-18</x:v>
      </x:c>
      <x:c r="B49" s="15" t="d">
        <x:v>2026-10-10T10:59:00.000Z</x:v>
      </x:c>
      <x:c r="C49" s="15" t="d">
        <x:v>2026-10-10T11:00:00.000Z</x:v>
      </x:c>
      <x:c r="D49" s="2" t="n">
        <x:v>1</x:v>
      </x:c>
      <x:c r="E49" s="2" t="n">
        <x:v>200</x:v>
      </x:c>
      <x:c r="F49" s="2" t="n">
        <x:f>D49*E49</x:f>
        <x:v>200</x:v>
      </x:c>
      <x:c r="G49" s="2" t="n">
        <x:v>200</x:v>
      </x:c>
      <x:c r="H49" s="2" t="n">
        <x:f>F49-G49</x:f>
        <x:v>0</x:v>
      </x:c>
    </x:row>
    <x:row r="50" ht="30" customHeight="1">
      <x:c r="A50" s="2" t="str">
        <x:v>KT-22</x:v>
      </x:c>
      <x:c r="B50" s="15" t="d">
        <x:v>2026-10-10T10:55:00.000Z</x:v>
      </x:c>
      <x:c r="C50" s="15" t="d">
        <x:v>2026-10-10T11:00:00.000Z</x:v>
      </x:c>
      <x:c r="D50" s="2" t="n">
        <x:v>5</x:v>
      </x:c>
      <x:c r="E50" s="2" t="n">
        <x:v>200</x:v>
      </x:c>
      <x:c r="F50" s="2" t="n">
        <x:f>D50*E50</x:f>
        <x:v>1000</x:v>
      </x:c>
      <x:c r="G50" s="2" t="n">
        <x:v>1000</x:v>
      </x:c>
      <x:c r="H50" s="2" t="n">
        <x:f>F50-G50</x:f>
        <x:v>0</x:v>
      </x:c>
    </x:row>
  </x:sheetData>
  <x:conditionalFormatting sqref="L7:L40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6" hidden="0" customWidth="1"/>
    <x:col min="4" max="4" width="12" hidden="0" customWidth="1"/>
    <x:col min="5" max="5" width="36" hidden="0" customWidth="1"/>
    <x:col min="6" max="6" width="17" hidden="0" customWidth="1"/>
    <x:col min="7" max="7" width="15" hidden="0" customWidth="1"/>
    <x:col min="8" max="8" width="20" hidden="0" customWidth="1"/>
  </x:cols>
  <x:sheetData>
    <x:row r="2">
      <x:c r="A2" s="7" t="str">
        <x:v>Dữ liệu thử và số đo tích lũy</x:v>
      </x:c>
    </x:row>
    <x:row r="4">
      <x:c r="A4" t="str">
        <x:v>Nguồn: Chia_viec_Sprint_4-5_cap_nhat.xlsx, sheet Ca kiểm thử S-32; số liệu thử bổ sung theo T77_DAP_AN_VA_NGHIEM_THU.md.</x:v>
      </x:c>
    </x:row>
    <x:row r="6" ht="42" customHeight="1">
      <x:c r="A6" s="6" t="str">
        <x:v>Ca</x:v>
      </x:c>
      <x:c r="B6" s="6" t="str">
        <x:v>Giờ địa phương</x:v>
      </x:c>
      <x:c r="C6" s="6" t="str">
        <x:v>Chỉ số Wh</x:v>
      </x:c>
      <x:c r="D6" s="6" t="str">
        <x:v>Giá</x:v>
      </x:c>
      <x:c r="E6" s="6" t="str">
        <x:v>Idle giờ trạm</x:v>
      </x:c>
      <x:c r="F6" s="6" t="str">
        <x:v>Grace (phút)</x:v>
      </x:c>
      <x:c r="G6" s="6" t="str">
        <x:v>Múi giờ</x:v>
      </x:c>
    </x:row>
    <x:row r="7" ht="30" customHeight="1">
      <x:c r="A7" s="2" t="str">
        <x:v>KT-01</x:v>
      </x:c>
      <x:c r="B7" s="13" t="d">
        <x:v>2026-10-10T10:00:00.000Z</x:v>
      </x:c>
      <x:c r="C7" s="8" t="n">
        <x:v>1000</x:v>
      </x:c>
      <x:c r="D7" s="2" t="str">
        <x:v>A</x:v>
      </x:c>
      <x:c r="E7" s="13" t="str">
        <x:v>Không</x:v>
      </x:c>
      <x:c r="F7" s="2" t="n">
        <x:v>5</x:v>
      </x:c>
      <x:c r="G7" s="2" t="str">
        <x:v>Asia/Ho_Chi_Minh</x:v>
      </x:c>
    </x:row>
    <x:row r="8" ht="30" customHeight="1">
      <x:c r="A8" s="2" t="str">
        <x:v>KT-01</x:v>
      </x:c>
      <x:c r="B8" s="13" t="d">
        <x:v>2026-10-10T11:00:00.000Z</x:v>
      </x:c>
      <x:c r="C8" s="8" t="n">
        <x:v>3000</x:v>
      </x:c>
      <x:c r="D8" s="2" t="str">
        <x:v>A</x:v>
      </x:c>
      <x:c r="E8" s="13" t="str">
        <x:v>Không</x:v>
      </x:c>
      <x:c r="F8" s="2" t="n">
        <x:v>5</x:v>
      </x:c>
      <x:c r="G8" s="2" t="str">
        <x:v>Asia/Ho_Chi_Minh</x:v>
      </x:c>
    </x:row>
    <x:row r="9" ht="30" customHeight="1">
      <x:c r="A9" s="2" t="str">
        <x:v>KT-02</x:v>
      </x:c>
      <x:c r="B9" s="13" t="d">
        <x:v>2026-10-10T21:30:00.000Z</x:v>
      </x:c>
      <x:c r="C9" s="8" t="n">
        <x:v>0</x:v>
      </x:c>
      <x:c r="D9" s="2" t="str">
        <x:v>A</x:v>
      </x:c>
      <x:c r="E9" s="13" t="str">
        <x:v>Không</x:v>
      </x:c>
      <x:c r="F9" s="2" t="n">
        <x:v>5</x:v>
      </x:c>
      <x:c r="G9" s="2" t="str">
        <x:v>Asia/Ho_Chi_Minh</x:v>
      </x:c>
    </x:row>
    <x:row r="10" ht="30" customHeight="1">
      <x:c r="A10" s="2" t="str">
        <x:v>KT-02</x:v>
      </x:c>
      <x:c r="B10" s="13" t="d">
        <x:v>2026-10-10T23:30:00.000Z</x:v>
      </x:c>
      <x:c r="C10" s="8" t="n">
        <x:v>20000</x:v>
      </x:c>
      <x:c r="D10" s="2" t="str">
        <x:v>A</x:v>
      </x:c>
      <x:c r="E10" s="13" t="str">
        <x:v>Không</x:v>
      </x:c>
      <x:c r="F10" s="2" t="n">
        <x:v>5</x:v>
      </x:c>
      <x:c r="G10" s="2" t="str">
        <x:v>Asia/Ho_Chi_Minh</x:v>
      </x:c>
    </x:row>
    <x:row r="11" ht="30" customHeight="1">
      <x:c r="A11" s="2" t="str">
        <x:v>KT-03</x:v>
      </x:c>
      <x:c r="B11" s="13" t="d">
        <x:v>2026-10-10T23:00:00.000Z</x:v>
      </x:c>
      <x:c r="C11" s="8" t="n">
        <x:v>0</x:v>
      </x:c>
      <x:c r="D11" s="2" t="str">
        <x:v>AB</x:v>
      </x:c>
      <x:c r="E11" s="13" t="str">
        <x:v>Không</x:v>
      </x:c>
      <x:c r="F11" s="2" t="n">
        <x:v>5</x:v>
      </x:c>
      <x:c r="G11" s="2" t="str">
        <x:v>Asia/Ho_Chi_Minh</x:v>
      </x:c>
    </x:row>
    <x:row r="12" ht="30" customHeight="1">
      <x:c r="A12" s="2" t="str">
        <x:v>KT-03</x:v>
      </x:c>
      <x:c r="B12" s="13" t="d">
        <x:v>2026-10-11T01:00:00.000Z</x:v>
      </x:c>
      <x:c r="C12" s="8" t="n">
        <x:v>10000</x:v>
      </x:c>
      <x:c r="D12" s="2" t="str">
        <x:v>AB</x:v>
      </x:c>
      <x:c r="E12" s="13" t="str">
        <x:v>Không</x:v>
      </x:c>
      <x:c r="F12" s="2" t="n">
        <x:v>5</x:v>
      </x:c>
      <x:c r="G12" s="2" t="str">
        <x:v>Asia/Ho_Chi_Minh</x:v>
      </x:c>
    </x:row>
    <x:row r="13" ht="30" customHeight="1">
      <x:c r="A13" s="2" t="str">
        <x:v>KT-04</x:v>
      </x:c>
      <x:c r="B13" s="13" t="d">
        <x:v>2026-10-10T22:00:00.000Z</x:v>
      </x:c>
      <x:c r="C13" s="8" t="n">
        <x:v>0</x:v>
      </x:c>
      <x:c r="D13" s="2" t="str">
        <x:v>A</x:v>
      </x:c>
      <x:c r="E13" s="13" t="str">
        <x:v>Không</x:v>
      </x:c>
      <x:c r="F13" s="2" t="n">
        <x:v>5</x:v>
      </x:c>
      <x:c r="G13" s="2" t="str">
        <x:v>Asia/Ho_Chi_Minh</x:v>
      </x:c>
    </x:row>
    <x:row r="14" ht="30" customHeight="1">
      <x:c r="A14" s="2" t="str">
        <x:v>KT-04</x:v>
      </x:c>
      <x:c r="B14" s="13" t="d">
        <x:v>2026-10-10T23:00:00.000Z</x:v>
      </x:c>
      <x:c r="C14" s="8" t="n">
        <x:v>1000</x:v>
      </x:c>
      <x:c r="D14" s="2" t="str">
        <x:v>A</x:v>
      </x:c>
      <x:c r="E14" s="13" t="str">
        <x:v>Không</x:v>
      </x:c>
      <x:c r="F14" s="2" t="n">
        <x:v>5</x:v>
      </x:c>
      <x:c r="G14" s="2" t="str">
        <x:v>Asia/Ho_Chi_Minh</x:v>
      </x:c>
    </x:row>
    <x:row r="15" ht="30" customHeight="1">
      <x:c r="A15" s="2" t="str">
        <x:v>KT-05</x:v>
      </x:c>
      <x:c r="B15" s="13" t="d">
        <x:v>2026-10-10T21:00:00.000Z</x:v>
      </x:c>
      <x:c r="C15" s="8" t="n">
        <x:v>0</x:v>
      </x:c>
      <x:c r="D15" s="2" t="str">
        <x:v>A</x:v>
      </x:c>
      <x:c r="E15" s="13" t="str">
        <x:v>Không</x:v>
      </x:c>
      <x:c r="F15" s="2" t="n">
        <x:v>5</x:v>
      </x:c>
      <x:c r="G15" s="2" t="str">
        <x:v>Asia/Ho_Chi_Minh</x:v>
      </x:c>
    </x:row>
    <x:row r="16" ht="30" customHeight="1">
      <x:c r="A16" s="2" t="str">
        <x:v>KT-05</x:v>
      </x:c>
      <x:c r="B16" s="13" t="d">
        <x:v>2026-10-10T22:00:00.000Z</x:v>
      </x:c>
      <x:c r="C16" s="8" t="n">
        <x:v>1000</x:v>
      </x:c>
      <x:c r="D16" s="2" t="str">
        <x:v>A</x:v>
      </x:c>
      <x:c r="E16" s="13" t="str">
        <x:v>Không</x:v>
      </x:c>
      <x:c r="F16" s="2" t="n">
        <x:v>5</x:v>
      </x:c>
      <x:c r="G16" s="2" t="str">
        <x:v>Asia/Ho_Chi_Minh</x:v>
      </x:c>
    </x:row>
    <x:row r="17" ht="30" customHeight="1">
      <x:c r="A17" s="2" t="str">
        <x:v>KT-06</x:v>
      </x:c>
      <x:c r="B17" s="13" t="d">
        <x:v>2026-10-10T05:30:00.000Z</x:v>
      </x:c>
      <x:c r="C17" s="8" t="n">
        <x:v>0</x:v>
      </x:c>
      <x:c r="D17" s="2" t="str">
        <x:v>A</x:v>
      </x:c>
      <x:c r="E17" s="13" t="str">
        <x:v>Không</x:v>
      </x:c>
      <x:c r="F17" s="2" t="n">
        <x:v>5</x:v>
      </x:c>
      <x:c r="G17" s="2" t="str">
        <x:v>Asia/Ho_Chi_Minh</x:v>
      </x:c>
    </x:row>
    <x:row r="18" ht="30" customHeight="1">
      <x:c r="A18" s="2" t="str">
        <x:v>KT-06</x:v>
      </x:c>
      <x:c r="B18" s="13" t="d">
        <x:v>2026-10-10T06:30:00.000Z</x:v>
      </x:c>
      <x:c r="C18" s="8" t="n">
        <x:v>1200</x:v>
      </x:c>
      <x:c r="D18" s="2" t="str">
        <x:v>A</x:v>
      </x:c>
      <x:c r="E18" s="13" t="str">
        <x:v>Không</x:v>
      </x:c>
      <x:c r="F18" s="2" t="n">
        <x:v>5</x:v>
      </x:c>
      <x:c r="G18" s="2" t="str">
        <x:v>Asia/Ho_Chi_Minh</x:v>
      </x:c>
    </x:row>
    <x:row r="19" ht="30" customHeight="1">
      <x:c r="A19" s="2" t="str">
        <x:v>KT-07</x:v>
      </x:c>
      <x:c r="B19" s="13" t="d">
        <x:v>2026-10-10T05:00:00.000Z</x:v>
      </x:c>
      <x:c r="C19" s="8" t="n">
        <x:v>0</x:v>
      </x:c>
      <x:c r="D19" s="2" t="str">
        <x:v>A</x:v>
      </x:c>
      <x:c r="E19" s="13" t="str">
        <x:v>Không</x:v>
      </x:c>
      <x:c r="F19" s="2" t="n">
        <x:v>5</x:v>
      </x:c>
      <x:c r="G19" s="2" t="str">
        <x:v>Asia/Ho_Chi_Minh</x:v>
      </x:c>
    </x:row>
    <x:row r="20" ht="30" customHeight="1">
      <x:c r="A20" s="2" t="str">
        <x:v>KT-07</x:v>
      </x:c>
      <x:c r="B20" s="13" t="d">
        <x:v>2026-10-10T23:00:00.000Z</x:v>
      </x:c>
      <x:c r="C20" s="8" t="n">
        <x:v>18000</x:v>
      </x:c>
      <x:c r="D20" s="2" t="str">
        <x:v>A</x:v>
      </x:c>
      <x:c r="E20" s="13" t="str">
        <x:v>Không</x:v>
      </x:c>
      <x:c r="F20" s="2" t="n">
        <x:v>5</x:v>
      </x:c>
      <x:c r="G20" s="2" t="str">
        <x:v>Asia/Ho_Chi_Minh</x:v>
      </x:c>
    </x:row>
    <x:row r="21" ht="30" customHeight="1">
      <x:c r="A21" s="2" t="str">
        <x:v>KT-08</x:v>
      </x:c>
      <x:c r="B21" s="13" t="d">
        <x:v>2026-10-10T21:30:00.000Z</x:v>
      </x:c>
      <x:c r="C21" s="8" t="n">
        <x:v>0</x:v>
      </x:c>
      <x:c r="D21" s="2" t="str">
        <x:v>A</x:v>
      </x:c>
      <x:c r="E21" s="13" t="str">
        <x:v>Không</x:v>
      </x:c>
      <x:c r="F21" s="2" t="n">
        <x:v>5</x:v>
      </x:c>
      <x:c r="G21" s="2" t="str">
        <x:v>Asia/Ho_Chi_Minh</x:v>
      </x:c>
    </x:row>
    <x:row r="22" ht="30" customHeight="1">
      <x:c r="A22" s="2" t="str">
        <x:v>KT-08</x:v>
      </x:c>
      <x:c r="B22" s="13" t="d">
        <x:v>2026-10-10T21:49:59.999Z</x:v>
      </x:c>
      <x:c r="C22" s="8" t="n">
        <x:v>300</x:v>
      </x:c>
      <x:c r="D22" s="2" t="str">
        <x:v>A</x:v>
      </x:c>
      <x:c r="E22" s="13" t="str">
        <x:v>Không</x:v>
      </x:c>
      <x:c r="F22" s="2" t="n">
        <x:v>5</x:v>
      </x:c>
      <x:c r="G22" s="2" t="str">
        <x:v>Asia/Ho_Chi_Minh</x:v>
      </x:c>
    </x:row>
    <x:row r="23" ht="30" customHeight="1">
      <x:c r="A23" s="2" t="str">
        <x:v>KT-08</x:v>
      </x:c>
      <x:c r="B23" s="13" t="d">
        <x:v>2026-10-10T22:30:00.000Z</x:v>
      </x:c>
      <x:c r="C23" s="8" t="n">
        <x:v>1500</x:v>
      </x:c>
      <x:c r="D23" s="2" t="str">
        <x:v>A</x:v>
      </x:c>
      <x:c r="E23" s="13" t="str">
        <x:v>Không</x:v>
      </x:c>
      <x:c r="F23" s="2" t="n">
        <x:v>5</x:v>
      </x:c>
      <x:c r="G23" s="2" t="str">
        <x:v>Asia/Ho_Chi_Minh</x:v>
      </x:c>
    </x:row>
    <x:row r="24" ht="30" customHeight="1">
      <x:c r="A24" s="2" t="str">
        <x:v>KT-09</x:v>
      </x:c>
      <x:c r="B24" s="13" t="d">
        <x:v>2026-10-10T21:30:00.000Z</x:v>
      </x:c>
      <x:c r="C24" s="8" t="n">
        <x:v>100</x:v>
      </x:c>
      <x:c r="D24" s="2" t="str">
        <x:v>A</x:v>
      </x:c>
      <x:c r="E24" s="13" t="str">
        <x:v>Không</x:v>
      </x:c>
      <x:c r="F24" s="2" t="n">
        <x:v>5</x:v>
      </x:c>
      <x:c r="G24" s="2" t="str">
        <x:v>Asia/Ho_Chi_Minh</x:v>
      </x:c>
    </x:row>
    <x:row r="25" ht="30" customHeight="1">
      <x:c r="A25" s="2" t="str">
        <x:v>KT-09</x:v>
      </x:c>
      <x:c r="B25" s="13" t="d">
        <x:v>2026-10-10T22:30:00.000Z</x:v>
      </x:c>
      <x:c r="C25" s="8" t="n">
        <x:v>105</x:v>
      </x:c>
      <x:c r="D25" s="2" t="str">
        <x:v>A</x:v>
      </x:c>
      <x:c r="E25" s="13" t="str">
        <x:v>Không</x:v>
      </x:c>
      <x:c r="F25" s="2" t="n">
        <x:v>5</x:v>
      </x:c>
      <x:c r="G25" s="2" t="str">
        <x:v>Asia/Ho_Chi_Minh</x:v>
      </x:c>
    </x:row>
    <x:row r="26" ht="30" customHeight="1">
      <x:c r="A26" s="2" t="str">
        <x:v>KT-10</x:v>
      </x:c>
      <x:c r="B26" s="13" t="d">
        <x:v>2026-10-10T23:00:00.000Z</x:v>
      </x:c>
      <x:c r="C26" s="8" t="n">
        <x:v>0</x:v>
      </x:c>
      <x:c r="D26" s="2" t="str">
        <x:v>R</x:v>
      </x:c>
      <x:c r="E26" s="13" t="str">
        <x:v>Không</x:v>
      </x:c>
      <x:c r="F26" s="2" t="n">
        <x:v>5</x:v>
      </x:c>
      <x:c r="G26" s="2" t="str">
        <x:v>Asia/Ho_Chi_Minh</x:v>
      </x:c>
    </x:row>
    <x:row r="27" ht="30" customHeight="1">
      <x:c r="A27" s="2" t="str">
        <x:v>KT-10</x:v>
      </x:c>
      <x:c r="B27" s="13" t="d">
        <x:v>2026-10-10T23:01:00.000Z</x:v>
      </x:c>
      <x:c r="C27" s="8" t="n">
        <x:v>1</x:v>
      </x:c>
      <x:c r="D27" s="2" t="str">
        <x:v>R</x:v>
      </x:c>
      <x:c r="E27" s="13" t="str">
        <x:v>Không</x:v>
      </x:c>
      <x:c r="F27" s="2" t="n">
        <x:v>5</x:v>
      </x:c>
      <x:c r="G27" s="2" t="str">
        <x:v>Asia/Ho_Chi_Minh</x:v>
      </x:c>
    </x:row>
    <x:row r="28" ht="30" customHeight="1">
      <x:c r="A28" s="2" t="str">
        <x:v>KT-11</x:v>
      </x:c>
      <x:c r="B28" s="13" t="d">
        <x:v>2026-10-10T21:30:00.000Z</x:v>
      </x:c>
      <x:c r="C28" s="8" t="n">
        <x:v>0</x:v>
      </x:c>
      <x:c r="D28" s="2" t="str">
        <x:v>R</x:v>
      </x:c>
      <x:c r="E28" s="13" t="str">
        <x:v>Không</x:v>
      </x:c>
      <x:c r="F28" s="2" t="n">
        <x:v>5</x:v>
      </x:c>
      <x:c r="G28" s="2" t="str">
        <x:v>Asia/Ho_Chi_Minh</x:v>
      </x:c>
    </x:row>
    <x:row r="29" ht="30" customHeight="1">
      <x:c r="A29" s="2" t="str">
        <x:v>KT-11</x:v>
      </x:c>
      <x:c r="B29" s="13" t="d">
        <x:v>2026-10-10T22:30:00.000Z</x:v>
      </x:c>
      <x:c r="C29" s="8" t="n">
        <x:v>2</x:v>
      </x:c>
      <x:c r="D29" s="2" t="str">
        <x:v>R</x:v>
      </x:c>
      <x:c r="E29" s="13" t="str">
        <x:v>Không</x:v>
      </x:c>
      <x:c r="F29" s="2" t="n">
        <x:v>5</x:v>
      </x:c>
      <x:c r="G29" s="2" t="str">
        <x:v>Asia/Ho_Chi_Minh</x:v>
      </x:c>
    </x:row>
    <x:row r="30" ht="30" customHeight="1">
      <x:c r="A30" s="2" t="str">
        <x:v>KT-12</x:v>
      </x:c>
      <x:c r="B30" s="13" t="d">
        <x:v>2026-10-10T10:00:00.000Z</x:v>
      </x:c>
      <x:c r="C30" s="8" t="n">
        <x:v>42</x:v>
      </x:c>
      <x:c r="D30" s="2" t="str">
        <x:v>A</x:v>
      </x:c>
      <x:c r="E30" s="13" t="str">
        <x:v>Không</x:v>
      </x:c>
      <x:c r="F30" s="2" t="n">
        <x:v>5</x:v>
      </x:c>
      <x:c r="G30" s="2" t="str">
        <x:v>Asia/Ho_Chi_Minh</x:v>
      </x:c>
    </x:row>
    <x:row r="31" ht="30" customHeight="1">
      <x:c r="A31" s="2" t="str">
        <x:v>KT-12</x:v>
      </x:c>
      <x:c r="B31" s="13" t="d">
        <x:v>2026-10-10T11:00:00.000Z</x:v>
      </x:c>
      <x:c r="C31" s="8" t="n">
        <x:v>42</x:v>
      </x:c>
      <x:c r="D31" s="2" t="str">
        <x:v>A</x:v>
      </x:c>
      <x:c r="E31" s="13" t="str">
        <x:v>Không</x:v>
      </x:c>
      <x:c r="F31" s="2" t="n">
        <x:v>5</x:v>
      </x:c>
      <x:c r="G31" s="2" t="str">
        <x:v>Asia/Ho_Chi_Minh</x:v>
      </x:c>
    </x:row>
    <x:row r="32" ht="30" customHeight="1">
      <x:c r="A32" s="2" t="str">
        <x:v>KT-13</x:v>
      </x:c>
      <x:c r="B32" s="13" t="d">
        <x:v>2026-10-10T10:00:00.000Z</x:v>
      </x:c>
      <x:c r="C32" s="8" t="n">
        <x:v>0</x:v>
      </x:c>
      <x:c r="D32" s="2" t="str">
        <x:v>A</x:v>
      </x:c>
      <x:c r="E32" s="13" t="d">
        <x:v>2026-10-10T10:50:00.000Z</x:v>
      </x:c>
      <x:c r="F32" s="2" t="n">
        <x:v>5</x:v>
      </x:c>
      <x:c r="G32" s="2" t="str">
        <x:v>Asia/Ho_Chi_Minh</x:v>
      </x:c>
    </x:row>
    <x:row r="33" ht="30" customHeight="1">
      <x:c r="A33" s="2" t="str">
        <x:v>KT-13</x:v>
      </x:c>
      <x:c r="B33" s="13" t="d">
        <x:v>2026-10-10T10:50:00.000Z</x:v>
      </x:c>
      <x:c r="C33" s="8" t="n">
        <x:v>1000</x:v>
      </x:c>
      <x:c r="D33" s="2" t="str">
        <x:v>A</x:v>
      </x:c>
      <x:c r="E33" s="13" t="d">
        <x:v>2026-10-10T10:50:00.000Z</x:v>
      </x:c>
      <x:c r="F33" s="2" t="n">
        <x:v>5</x:v>
      </x:c>
      <x:c r="G33" s="2" t="str">
        <x:v>Asia/Ho_Chi_Minh</x:v>
      </x:c>
    </x:row>
    <x:row r="34" ht="30" customHeight="1">
      <x:c r="A34" s="2" t="str">
        <x:v>KT-13</x:v>
      </x:c>
      <x:c r="B34" s="13" t="d">
        <x:v>2026-10-10T11:00:00.000Z</x:v>
      </x:c>
      <x:c r="C34" s="8" t="n">
        <x:v>1000</x:v>
      </x:c>
      <x:c r="D34" s="2" t="str">
        <x:v>A</x:v>
      </x:c>
      <x:c r="E34" s="13" t="d">
        <x:v>2026-10-10T10:50:00.000Z</x:v>
      </x:c>
      <x:c r="F34" s="2" t="n">
        <x:v>5</x:v>
      </x:c>
      <x:c r="G34" s="2" t="str">
        <x:v>Asia/Ho_Chi_Minh</x:v>
      </x:c>
    </x:row>
    <x:row r="35" ht="30" customHeight="1">
      <x:c r="A35" s="2" t="str">
        <x:v>KT-14</x:v>
      </x:c>
      <x:c r="B35" s="13" t="d">
        <x:v>2026-10-10T10:00:00.000Z</x:v>
      </x:c>
      <x:c r="C35" s="8" t="n">
        <x:v>0</x:v>
      </x:c>
      <x:c r="D35" s="2" t="str">
        <x:v>A</x:v>
      </x:c>
      <x:c r="E35" s="13" t="d">
        <x:v>2026-10-10T10:55:00.000Z</x:v>
      </x:c>
      <x:c r="F35" s="2" t="n">
        <x:v>5</x:v>
      </x:c>
      <x:c r="G35" s="2" t="str">
        <x:v>Asia/Ho_Chi_Minh</x:v>
      </x:c>
    </x:row>
    <x:row r="36" ht="30" customHeight="1">
      <x:c r="A36" s="2" t="str">
        <x:v>KT-14</x:v>
      </x:c>
      <x:c r="B36" s="13" t="d">
        <x:v>2026-10-10T10:55:00.000Z</x:v>
      </x:c>
      <x:c r="C36" s="8" t="n">
        <x:v>1000</x:v>
      </x:c>
      <x:c r="D36" s="2" t="str">
        <x:v>A</x:v>
      </x:c>
      <x:c r="E36" s="13" t="d">
        <x:v>2026-10-10T10:55:00.000Z</x:v>
      </x:c>
      <x:c r="F36" s="2" t="n">
        <x:v>5</x:v>
      </x:c>
      <x:c r="G36" s="2" t="str">
        <x:v>Asia/Ho_Chi_Minh</x:v>
      </x:c>
    </x:row>
    <x:row r="37" ht="30" customHeight="1">
      <x:c r="A37" s="2" t="str">
        <x:v>KT-14</x:v>
      </x:c>
      <x:c r="B37" s="13" t="d">
        <x:v>2026-10-10T11:00:00.000Z</x:v>
      </x:c>
      <x:c r="C37" s="8" t="n">
        <x:v>1000</x:v>
      </x:c>
      <x:c r="D37" s="2" t="str">
        <x:v>A</x:v>
      </x:c>
      <x:c r="E37" s="13" t="d">
        <x:v>2026-10-10T10:55:00.000Z</x:v>
      </x:c>
      <x:c r="F37" s="2" t="n">
        <x:v>5</x:v>
      </x:c>
      <x:c r="G37" s="2" t="str">
        <x:v>Asia/Ho_Chi_Minh</x:v>
      </x:c>
    </x:row>
    <x:row r="38" ht="30" customHeight="1">
      <x:c r="A38" s="2" t="str">
        <x:v>KT-15</x:v>
      </x:c>
      <x:c r="B38" s="13" t="d">
        <x:v>2026-10-10T10:00:00.000Z</x:v>
      </x:c>
      <x:c r="C38" s="8" t="n">
        <x:v>0</x:v>
      </x:c>
      <x:c r="D38" s="2" t="str">
        <x:v>A</x:v>
      </x:c>
      <x:c r="E38" s="13" t="d">
        <x:v>2026-10-10T10:54:59.000Z</x:v>
      </x:c>
      <x:c r="F38" s="2" t="n">
        <x:v>5</x:v>
      </x:c>
      <x:c r="G38" s="2" t="str">
        <x:v>Asia/Ho_Chi_Minh</x:v>
      </x:c>
    </x:row>
    <x:row r="39" ht="30" customHeight="1">
      <x:c r="A39" s="2" t="str">
        <x:v>KT-15</x:v>
      </x:c>
      <x:c r="B39" s="13" t="d">
        <x:v>2026-10-10T10:54:59.000Z</x:v>
      </x:c>
      <x:c r="C39" s="8" t="n">
        <x:v>1000</x:v>
      </x:c>
      <x:c r="D39" s="2" t="str">
        <x:v>A</x:v>
      </x:c>
      <x:c r="E39" s="13" t="d">
        <x:v>2026-10-10T10:54:59.000Z</x:v>
      </x:c>
      <x:c r="F39" s="2" t="n">
        <x:v>5</x:v>
      </x:c>
      <x:c r="G39" s="2" t="str">
        <x:v>Asia/Ho_Chi_Minh</x:v>
      </x:c>
    </x:row>
    <x:row r="40" ht="30" customHeight="1">
      <x:c r="A40" s="2" t="str">
        <x:v>KT-15</x:v>
      </x:c>
      <x:c r="B40" s="13" t="d">
        <x:v>2026-10-10T11:00:00.000Z</x:v>
      </x:c>
      <x:c r="C40" s="8" t="n">
        <x:v>1000</x:v>
      </x:c>
      <x:c r="D40" s="2" t="str">
        <x:v>A</x:v>
      </x:c>
      <x:c r="E40" s="13" t="d">
        <x:v>2026-10-10T10:54:59.000Z</x:v>
      </x:c>
      <x:c r="F40" s="2" t="n">
        <x:v>5</x:v>
      </x:c>
      <x:c r="G40" s="2" t="str">
        <x:v>Asia/Ho_Chi_Minh</x:v>
      </x:c>
    </x:row>
    <x:row r="41" ht="30" customHeight="1">
      <x:c r="A41" s="2" t="str">
        <x:v>KT-16</x:v>
      </x:c>
      <x:c r="B41" s="13" t="d">
        <x:v>2026-10-10T23:00:00.000Z</x:v>
      </x:c>
      <x:c r="C41" s="8" t="n">
        <x:v>0</x:v>
      </x:c>
      <x:c r="D41" s="2" t="str">
        <x:v>AB</x:v>
      </x:c>
      <x:c r="E41" s="13" t="d">
        <x:v>2026-10-10T23:50:00.000Z</x:v>
      </x:c>
      <x:c r="F41" s="2" t="n">
        <x:v>5</x:v>
      </x:c>
      <x:c r="G41" s="2" t="str">
        <x:v>Asia/Ho_Chi_Minh</x:v>
      </x:c>
    </x:row>
    <x:row r="42" ht="30" customHeight="1">
      <x:c r="A42" s="2" t="str">
        <x:v>KT-16</x:v>
      </x:c>
      <x:c r="B42" s="13" t="d">
        <x:v>2026-10-10T23:50:00.000Z</x:v>
      </x:c>
      <x:c r="C42" s="8" t="n">
        <x:v>1000</x:v>
      </x:c>
      <x:c r="D42" s="2" t="str">
        <x:v>AB</x:v>
      </x:c>
      <x:c r="E42" s="13" t="d">
        <x:v>2026-10-10T23:50:00.000Z</x:v>
      </x:c>
      <x:c r="F42" s="2" t="n">
        <x:v>5</x:v>
      </x:c>
      <x:c r="G42" s="2" t="str">
        <x:v>Asia/Ho_Chi_Minh</x:v>
      </x:c>
    </x:row>
    <x:row r="43" ht="30" customHeight="1">
      <x:c r="A43" s="2" t="str">
        <x:v>KT-16</x:v>
      </x:c>
      <x:c r="B43" s="13" t="d">
        <x:v>2026-10-11T00:00:00.000Z</x:v>
      </x:c>
      <x:c r="C43" s="8" t="n">
        <x:v>1000</x:v>
      </x:c>
      <x:c r="D43" s="2" t="str">
        <x:v>AB</x:v>
      </x:c>
      <x:c r="E43" s="13" t="d">
        <x:v>2026-10-10T23:50:00.000Z</x:v>
      </x:c>
      <x:c r="F43" s="2" t="n">
        <x:v>5</x:v>
      </x:c>
      <x:c r="G43" s="2" t="str">
        <x:v>Asia/Ho_Chi_Minh</x:v>
      </x:c>
    </x:row>
    <x:row r="44" ht="30" customHeight="1">
      <x:c r="A44" s="2" t="str">
        <x:v>KT-16</x:v>
      </x:c>
      <x:c r="B44" s="13" t="d">
        <x:v>2026-10-11T00:10:19.999Z</x:v>
      </x:c>
      <x:c r="C44" s="8" t="n">
        <x:v>1000</x:v>
      </x:c>
      <x:c r="D44" s="2" t="str">
        <x:v>AB</x:v>
      </x:c>
      <x:c r="E44" s="13" t="d">
        <x:v>2026-10-10T23:50:00.000Z</x:v>
      </x:c>
      <x:c r="F44" s="2" t="n">
        <x:v>5</x:v>
      </x:c>
      <x:c r="G44" s="2" t="str">
        <x:v>Asia/Ho_Chi_Minh</x:v>
      </x:c>
    </x:row>
    <x:row r="45" ht="30" customHeight="1">
      <x:c r="A45" s="2" t="str">
        <x:v>KT-17</x:v>
      </x:c>
      <x:c r="B45" s="13" t="d">
        <x:v>2026-10-10T10:00:00.000Z</x:v>
      </x:c>
      <x:c r="C45" s="8" t="n">
        <x:v>0</x:v>
      </x:c>
      <x:c r="D45" s="2" t="str">
        <x:v>A</x:v>
      </x:c>
      <x:c r="E45" s="13" t="d">
        <x:v>2026-10-10T10:56:00.000Z</x:v>
      </x:c>
      <x:c r="F45" s="2" t="n">
        <x:v>5</x:v>
      </x:c>
      <x:c r="G45" s="2" t="str">
        <x:v>Asia/Ho_Chi_Minh</x:v>
      </x:c>
    </x:row>
    <x:row r="46" ht="30" customHeight="1">
      <x:c r="A46" s="2" t="str">
        <x:v>KT-17</x:v>
      </x:c>
      <x:c r="B46" s="13" t="d">
        <x:v>2026-10-10T10:56:00.000Z</x:v>
      </x:c>
      <x:c r="C46" s="8" t="n">
        <x:v>1000</x:v>
      </x:c>
      <x:c r="D46" s="2" t="str">
        <x:v>A</x:v>
      </x:c>
      <x:c r="E46" s="13" t="d">
        <x:v>2026-10-10T10:56:00.000Z</x:v>
      </x:c>
      <x:c r="F46" s="2" t="n">
        <x:v>5</x:v>
      </x:c>
      <x:c r="G46" s="2" t="str">
        <x:v>Asia/Ho_Chi_Minh</x:v>
      </x:c>
    </x:row>
    <x:row r="47" ht="30" customHeight="1">
      <x:c r="A47" s="2" t="str">
        <x:v>KT-17</x:v>
      </x:c>
      <x:c r="B47" s="13" t="d">
        <x:v>2026-10-10T11:00:00.000Z</x:v>
      </x:c>
      <x:c r="C47" s="8" t="n">
        <x:v>1000</x:v>
      </x:c>
      <x:c r="D47" s="2" t="str">
        <x:v>A</x:v>
      </x:c>
      <x:c r="E47" s="13" t="d">
        <x:v>2026-10-10T10:56:00.000Z</x:v>
      </x:c>
      <x:c r="F47" s="2" t="n">
        <x:v>5</x:v>
      </x:c>
      <x:c r="G47" s="2" t="str">
        <x:v>Asia/Ho_Chi_Minh</x:v>
      </x:c>
    </x:row>
    <x:row r="48" ht="30" customHeight="1">
      <x:c r="A48" s="2" t="str">
        <x:v>KT-18</x:v>
      </x:c>
      <x:c r="B48" s="13" t="d">
        <x:v>2026-10-10T10:00:00.000Z</x:v>
      </x:c>
      <x:c r="C48" s="8" t="n">
        <x:v>0</x:v>
      </x:c>
      <x:c r="D48" s="2" t="str">
        <x:v>A</x:v>
      </x:c>
      <x:c r="E48" s="13" t="d">
        <x:v>2026-10-10T10:54:00.000Z</x:v>
      </x:c>
      <x:c r="F48" s="2" t="n">
        <x:v>5</x:v>
      </x:c>
      <x:c r="G48" s="2" t="str">
        <x:v>Asia/Ho_Chi_Minh</x:v>
      </x:c>
    </x:row>
    <x:row r="49" ht="30" customHeight="1">
      <x:c r="A49" s="2" t="str">
        <x:v>KT-18</x:v>
      </x:c>
      <x:c r="B49" s="13" t="d">
        <x:v>2026-10-10T10:54:00.000Z</x:v>
      </x:c>
      <x:c r="C49" s="8" t="n">
        <x:v>1000</x:v>
      </x:c>
      <x:c r="D49" s="2" t="str">
        <x:v>A</x:v>
      </x:c>
      <x:c r="E49" s="13" t="d">
        <x:v>2026-10-10T10:54:00.000Z</x:v>
      </x:c>
      <x:c r="F49" s="2" t="n">
        <x:v>5</x:v>
      </x:c>
      <x:c r="G49" s="2" t="str">
        <x:v>Asia/Ho_Chi_Minh</x:v>
      </x:c>
    </x:row>
    <x:row r="50" ht="30" customHeight="1">
      <x:c r="A50" s="2" t="str">
        <x:v>KT-18</x:v>
      </x:c>
      <x:c r="B50" s="13" t="d">
        <x:v>2026-10-10T11:00:00.000Z</x:v>
      </x:c>
      <x:c r="C50" s="8" t="n">
        <x:v>1000</x:v>
      </x:c>
      <x:c r="D50" s="2" t="str">
        <x:v>A</x:v>
      </x:c>
      <x:c r="E50" s="13" t="d">
        <x:v>2026-10-10T10:54:00.000Z</x:v>
      </x:c>
      <x:c r="F50" s="2" t="n">
        <x:v>5</x:v>
      </x:c>
      <x:c r="G50" s="2" t="str">
        <x:v>Asia/Ho_Chi_Minh</x:v>
      </x:c>
    </x:row>
    <x:row r="51" ht="30" customHeight="1">
      <x:c r="A51" s="2" t="str">
        <x:v>KT-19</x:v>
      </x:c>
      <x:c r="B51" s="13" t="d">
        <x:v>2026-10-10T23:00:00.000Z</x:v>
      </x:c>
      <x:c r="C51" s="8" t="n">
        <x:v>0</x:v>
      </x:c>
      <x:c r="D51" s="2" t="str">
        <x:v>ABC</x:v>
      </x:c>
      <x:c r="E51" s="13" t="str">
        <x:v>Không</x:v>
      </x:c>
      <x:c r="F51" s="2" t="n">
        <x:v>5</x:v>
      </x:c>
      <x:c r="G51" s="2" t="str">
        <x:v>Asia/Ho_Chi_Minh</x:v>
      </x:c>
    </x:row>
    <x:row r="52" ht="30" customHeight="1">
      <x:c r="A52" s="2" t="str">
        <x:v>KT-19</x:v>
      </x:c>
      <x:c r="B52" s="13" t="d">
        <x:v>2026-10-12T01:00:00.000Z</x:v>
      </x:c>
      <x:c r="C52" s="8" t="n">
        <x:v>26000</x:v>
      </x:c>
      <x:c r="D52" s="2" t="str">
        <x:v>ABC</x:v>
      </x:c>
      <x:c r="E52" s="13" t="str">
        <x:v>Không</x:v>
      </x:c>
      <x:c r="F52" s="2" t="n">
        <x:v>5</x:v>
      </x:c>
      <x:c r="G52" s="2" t="str">
        <x:v>Asia/Ho_Chi_Minh</x:v>
      </x:c>
    </x:row>
    <x:row r="53" ht="30" customHeight="1">
      <x:c r="A53" s="2" t="str">
        <x:v>KT-20</x:v>
      </x:c>
      <x:c r="B53" s="13" t="d">
        <x:v>2026-10-10T23:00:00.000Z</x:v>
      </x:c>
      <x:c r="C53" s="8" t="n">
        <x:v>0</x:v>
      </x:c>
      <x:c r="D53" s="2" t="str">
        <x:v>AB</x:v>
      </x:c>
      <x:c r="E53" s="13" t="str">
        <x:v>Không</x:v>
      </x:c>
      <x:c r="F53" s="2" t="n">
        <x:v>5</x:v>
      </x:c>
      <x:c r="G53" s="2" t="str">
        <x:v>America/Los_Angeles</x:v>
      </x:c>
    </x:row>
    <x:row r="54" ht="30" customHeight="1">
      <x:c r="A54" s="2" t="str">
        <x:v>KT-20</x:v>
      </x:c>
      <x:c r="B54" s="13" t="d">
        <x:v>2026-10-11T01:00:00.000Z</x:v>
      </x:c>
      <x:c r="C54" s="8" t="n">
        <x:v>10000</x:v>
      </x:c>
      <x:c r="D54" s="2" t="str">
        <x:v>AB</x:v>
      </x:c>
      <x:c r="E54" s="13" t="str">
        <x:v>Không</x:v>
      </x:c>
      <x:c r="F54" s="2" t="n">
        <x:v>5</x:v>
      </x:c>
      <x:c r="G54" s="2" t="str">
        <x:v>America/Los_Angeles</x:v>
      </x:c>
    </x:row>
    <x:row r="55" ht="30" customHeight="1">
      <x:c r="A55" s="2" t="str">
        <x:v>KT-21</x:v>
      </x:c>
      <x:c r="B55" s="13" t="d">
        <x:v>2026-10-10T21:30:00.000Z</x:v>
      </x:c>
      <x:c r="C55" s="8" t="n">
        <x:v>0</x:v>
      </x:c>
      <x:c r="D55" s="2" t="str">
        <x:v>A</x:v>
      </x:c>
      <x:c r="E55" s="13" t="str">
        <x:v>Không</x:v>
      </x:c>
      <x:c r="F55" s="2" t="n">
        <x:v>5</x:v>
      </x:c>
      <x:c r="G55" s="2" t="str">
        <x:v>Asia/Ho_Chi_Minh</x:v>
      </x:c>
    </x:row>
    <x:row r="56" ht="30" customHeight="1">
      <x:c r="A56" s="2" t="str">
        <x:v>KT-21</x:v>
      </x:c>
      <x:c r="B56" s="13" t="d">
        <x:v>2026-10-10T21:59:00.000Z</x:v>
      </x:c>
      <x:c r="C56" s="8" t="n">
        <x:v>0</x:v>
      </x:c>
      <x:c r="D56" s="2" t="str">
        <x:v>A</x:v>
      </x:c>
      <x:c r="E56" s="13" t="str">
        <x:v>Không</x:v>
      </x:c>
      <x:c r="F56" s="2" t="n">
        <x:v>5</x:v>
      </x:c>
      <x:c r="G56" s="2" t="str">
        <x:v>Asia/Ho_Chi_Minh</x:v>
      </x:c>
    </x:row>
    <x:row r="57" ht="30" customHeight="1">
      <x:c r="A57" s="2" t="str">
        <x:v>KT-21</x:v>
      </x:c>
      <x:c r="B57" s="13" t="d">
        <x:v>2026-10-10T22:30:00.000Z</x:v>
      </x:c>
      <x:c r="C57" s="8" t="n">
        <x:v>1</x:v>
      </x:c>
      <x:c r="D57" s="2" t="str">
        <x:v>A</x:v>
      </x:c>
      <x:c r="E57" s="13" t="str">
        <x:v>Không</x:v>
      </x:c>
      <x:c r="F57" s="2" t="n">
        <x:v>5</x:v>
      </x:c>
      <x:c r="G57" s="2" t="str">
        <x:v>Asia/Ho_Chi_Minh</x:v>
      </x:c>
    </x:row>
    <x:row r="58" ht="30" customHeight="1">
      <x:c r="A58" s="2" t="str">
        <x:v>KT-22</x:v>
      </x:c>
      <x:c r="B58" s="13" t="d">
        <x:v>2026-10-10T10:00:00.000Z</x:v>
      </x:c>
      <x:c r="C58" s="8" t="n">
        <x:v>0</x:v>
      </x:c>
      <x:c r="D58" s="2" t="str">
        <x:v>A</x:v>
      </x:c>
      <x:c r="E58" s="13" t="d">
        <x:v>2026-10-10T10:50:00.000Z</x:v>
      </x:c>
      <x:c r="F58" s="2" t="n">
        <x:v>5</x:v>
      </x:c>
      <x:c r="G58" s="2" t="str">
        <x:v>Asia/Ho_Chi_Minh</x:v>
      </x:c>
    </x:row>
    <x:row r="59" ht="30" customHeight="1">
      <x:c r="A59" s="2" t="str">
        <x:v>KT-22</x:v>
      </x:c>
      <x:c r="B59" s="13" t="d">
        <x:v>2026-10-10T10:10:00.000Z</x:v>
      </x:c>
      <x:c r="C59" s="8" t="n">
        <x:v>400</x:v>
      </x:c>
      <x:c r="D59" s="2" t="str">
        <x:v>A</x:v>
      </x:c>
      <x:c r="E59" s="13" t="d">
        <x:v>2026-10-10T10:50:00.000Z</x:v>
      </x:c>
      <x:c r="F59" s="2" t="n">
        <x:v>5</x:v>
      </x:c>
      <x:c r="G59" s="2" t="str">
        <x:v>Asia/Ho_Chi_Minh</x:v>
      </x:c>
    </x:row>
    <x:row r="60" ht="30" customHeight="1">
      <x:c r="A60" s="2" t="str">
        <x:v>KT-22</x:v>
      </x:c>
      <x:c r="B60" s="13" t="d">
        <x:v>2026-10-10T10:20:00.000Z</x:v>
      </x:c>
      <x:c r="C60" s="8" t="n">
        <x:v>400</x:v>
      </x:c>
      <x:c r="D60" s="2" t="str">
        <x:v>A</x:v>
      </x:c>
      <x:c r="E60" s="13" t="d">
        <x:v>2026-10-10T10:50:00.000Z</x:v>
      </x:c>
      <x:c r="F60" s="2" t="n">
        <x:v>5</x:v>
      </x:c>
      <x:c r="G60" s="2" t="str">
        <x:v>Asia/Ho_Chi_Minh</x:v>
      </x:c>
    </x:row>
    <x:row r="61" ht="30" customHeight="1">
      <x:c r="A61" s="2" t="str">
        <x:v>KT-22</x:v>
      </x:c>
      <x:c r="B61" s="13" t="d">
        <x:v>2026-10-10T10:50:00.000Z</x:v>
      </x:c>
      <x:c r="C61" s="8" t="n">
        <x:v>1000</x:v>
      </x:c>
      <x:c r="D61" s="2" t="str">
        <x:v>A</x:v>
      </x:c>
      <x:c r="E61" s="13" t="d">
        <x:v>2026-10-10T10:50:00.000Z</x:v>
      </x:c>
      <x:c r="F61" s="2" t="n">
        <x:v>5</x:v>
      </x:c>
      <x:c r="G61" s="2" t="str">
        <x:v>Asia/Ho_Chi_Minh</x:v>
      </x:c>
    </x:row>
    <x:row r="62" ht="30" customHeight="1">
      <x:c r="A62" s="2" t="str">
        <x:v>KT-22</x:v>
      </x:c>
      <x:c r="B62" s="13" t="d">
        <x:v>2026-10-10T11:00:00.000Z</x:v>
      </x:c>
      <x:c r="C62" s="8" t="n">
        <x:v>1000</x:v>
      </x:c>
      <x:c r="D62" s="2" t="str">
        <x:v>A</x:v>
      </x:c>
      <x:c r="E62" s="13" t="d">
        <x:v>2026-10-10T10:50:00.000Z</x:v>
      </x:c>
      <x:c r="F62" s="2" t="n">
        <x:v>5</x:v>
      </x:c>
      <x:c r="G62" s="2" t="str">
        <x:v>Asia/Ho_Chi_Minh</x:v>
      </x:c>
    </x:row>
    <x:row r="65" ht="42" customHeight="1">
      <x:c r="A65" s="6" t="str">
        <x:v>Giá</x:v>
      </x:c>
      <x:c r="B65" s="6" t="str">
        <x:v>Ngày local</x:v>
      </x:c>
      <x:c r="C65" s="6" t="str">
        <x:v>Từ phút</x:v>
      </x:c>
      <x:c r="D65" s="6" t="str">
        <x:v>Đến phút</x:v>
      </x:c>
      <x:c r="E65" s="6" t="str">
        <x:v>đ/kWh</x:v>
      </x:c>
      <x:c r="F65" s="6" t="str">
        <x:v>Idle đ/phút</x:v>
      </x:c>
      <x:c r="G65" s="6" t="str">
        <x:v>Grace phút</x:v>
      </x:c>
      <x:c r="H65" s="6" t="str">
        <x:v>Nhãn</x:v>
      </x:c>
    </x:row>
    <x:row r="66" ht="30" customHeight="1">
      <x:c r="A66" s="2" t="str">
        <x:v>A</x:v>
      </x:c>
      <x:c r="B66" s="10" t="str">
        <x:v>2026-10-10</x:v>
      </x:c>
      <x:c r="C66" s="2" t="n">
        <x:v>0</x:v>
      </x:c>
      <x:c r="D66" s="2" t="n">
        <x:v>360</x:v>
      </x:c>
      <x:c r="E66" s="2" t="n">
        <x:v>2000</x:v>
      </x:c>
      <x:c r="F66" s="2" t="n">
        <x:v>200</x:v>
      </x:c>
      <x:c r="G66" s="2" t="n">
        <x:v>5</x:v>
      </x:c>
      <x:c r="H66" s="2" t="str">
        <x:v>Dem som</x:v>
      </x:c>
    </x:row>
    <x:row r="67" ht="30" customHeight="1">
      <x:c r="A67" s="2" t="str">
        <x:v>A</x:v>
      </x:c>
      <x:c r="B67" s="10" t="str">
        <x:v>2026-10-10</x:v>
      </x:c>
      <x:c r="C67" s="2" t="n">
        <x:v>360</x:v>
      </x:c>
      <x:c r="D67" s="2" t="n">
        <x:v>1320</x:v>
      </x:c>
      <x:c r="E67" s="2" t="n">
        <x:v>3000</x:v>
      </x:c>
      <x:c r="F67" s="2" t="n">
        <x:v>200</x:v>
      </x:c>
      <x:c r="G67" s="2" t="n">
        <x:v>5</x:v>
      </x:c>
      <x:c r="H67" s="2" t="str">
        <x:v>Ban ngay</x:v>
      </x:c>
    </x:row>
    <x:row r="68" ht="30" customHeight="1">
      <x:c r="A68" s="2" t="str">
        <x:v>A</x:v>
      </x:c>
      <x:c r="B68" s="10" t="str">
        <x:v>2026-10-10</x:v>
      </x:c>
      <x:c r="C68" s="2" t="n">
        <x:v>1320</x:v>
      </x:c>
      <x:c r="D68" s="2" t="n">
        <x:v>1440</x:v>
      </x:c>
      <x:c r="E68" s="2" t="n">
        <x:v>2000</x:v>
      </x:c>
      <x:c r="F68" s="2" t="n">
        <x:v>200</x:v>
      </x:c>
      <x:c r="G68" s="2" t="n">
        <x:v>5</x:v>
      </x:c>
      <x:c r="H68" s="2" t="str">
        <x:v>Dem muon</x:v>
      </x:c>
    </x:row>
    <x:row r="69" ht="30" customHeight="1">
      <x:c r="A69" s="2" t="str">
        <x:v>AB</x:v>
      </x:c>
      <x:c r="B69" s="10" t="str">
        <x:v>2026-10-10</x:v>
      </x:c>
      <x:c r="C69" s="2" t="n">
        <x:v>0</x:v>
      </x:c>
      <x:c r="D69" s="2" t="n">
        <x:v>360</x:v>
      </x:c>
      <x:c r="E69" s="2" t="n">
        <x:v>2000</x:v>
      </x:c>
      <x:c r="F69" s="2" t="n">
        <x:v>200</x:v>
      </x:c>
      <x:c r="G69" s="2" t="n">
        <x:v>5</x:v>
      </x:c>
      <x:c r="H69" s="2" t="str">
        <x:v>Dem som</x:v>
      </x:c>
    </x:row>
    <x:row r="70" ht="30" customHeight="1">
      <x:c r="A70" s="2" t="str">
        <x:v>AB</x:v>
      </x:c>
      <x:c r="B70" s="10" t="str">
        <x:v>2026-10-10</x:v>
      </x:c>
      <x:c r="C70" s="2" t="n">
        <x:v>360</x:v>
      </x:c>
      <x:c r="D70" s="2" t="n">
        <x:v>1320</x:v>
      </x:c>
      <x:c r="E70" s="2" t="n">
        <x:v>3000</x:v>
      </x:c>
      <x:c r="F70" s="2" t="n">
        <x:v>200</x:v>
      </x:c>
      <x:c r="G70" s="2" t="n">
        <x:v>5</x:v>
      </x:c>
      <x:c r="H70" s="2" t="str">
        <x:v>Ban ngay</x:v>
      </x:c>
    </x:row>
    <x:row r="71" ht="30" customHeight="1">
      <x:c r="A71" s="2" t="str">
        <x:v>AB</x:v>
      </x:c>
      <x:c r="B71" s="10" t="str">
        <x:v>2026-10-10</x:v>
      </x:c>
      <x:c r="C71" s="2" t="n">
        <x:v>1320</x:v>
      </x:c>
      <x:c r="D71" s="2" t="n">
        <x:v>1440</x:v>
      </x:c>
      <x:c r="E71" s="2" t="n">
        <x:v>2000</x:v>
      </x:c>
      <x:c r="F71" s="2" t="n">
        <x:v>200</x:v>
      </x:c>
      <x:c r="G71" s="2" t="n">
        <x:v>5</x:v>
      </x:c>
      <x:c r="H71" s="2" t="str">
        <x:v>Dem muon</x:v>
      </x:c>
    </x:row>
    <x:row r="72" ht="30" customHeight="1">
      <x:c r="A72" s="2" t="str">
        <x:v>AB</x:v>
      </x:c>
      <x:c r="B72" s="10" t="str">
        <x:v>2026-10-11</x:v>
      </x:c>
      <x:c r="C72" s="2" t="n">
        <x:v>0</x:v>
      </x:c>
      <x:c r="D72" s="2" t="n">
        <x:v>360</x:v>
      </x:c>
      <x:c r="E72" s="2" t="n">
        <x:v>2500</x:v>
      </x:c>
      <x:c r="F72" s="2" t="n">
        <x:v>300</x:v>
      </x:c>
      <x:c r="G72" s="2" t="n">
        <x:v>5</x:v>
      </x:c>
      <x:c r="H72" s="2" t="str">
        <x:v>Dem som</x:v>
      </x:c>
    </x:row>
    <x:row r="73" ht="30" customHeight="1">
      <x:c r="A73" s="2" t="str">
        <x:v>AB</x:v>
      </x:c>
      <x:c r="B73" s="10" t="str">
        <x:v>2026-10-11</x:v>
      </x:c>
      <x:c r="C73" s="2" t="n">
        <x:v>360</x:v>
      </x:c>
      <x:c r="D73" s="2" t="n">
        <x:v>1320</x:v>
      </x:c>
      <x:c r="E73" s="2" t="n">
        <x:v>3500</x:v>
      </x:c>
      <x:c r="F73" s="2" t="n">
        <x:v>300</x:v>
      </x:c>
      <x:c r="G73" s="2" t="n">
        <x:v>5</x:v>
      </x:c>
      <x:c r="H73" s="2" t="str">
        <x:v>Ban ngay</x:v>
      </x:c>
    </x:row>
    <x:row r="74" ht="30" customHeight="1">
      <x:c r="A74" s="2" t="str">
        <x:v>AB</x:v>
      </x:c>
      <x:c r="B74" s="10" t="str">
        <x:v>2026-10-11</x:v>
      </x:c>
      <x:c r="C74" s="2" t="n">
        <x:v>1320</x:v>
      </x:c>
      <x:c r="D74" s="2" t="n">
        <x:v>1440</x:v>
      </x:c>
      <x:c r="E74" s="2" t="n">
        <x:v>2500</x:v>
      </x:c>
      <x:c r="F74" s="2" t="n">
        <x:v>300</x:v>
      </x:c>
      <x:c r="G74" s="2" t="n">
        <x:v>5</x:v>
      </x:c>
      <x:c r="H74" s="2" t="str">
        <x:v>Dem muon</x:v>
      </x:c>
    </x:row>
    <x:row r="75" ht="30" customHeight="1">
      <x:c r="A75" s="2" t="str">
        <x:v>R</x:v>
      </x:c>
      <x:c r="B75" s="10" t="str">
        <x:v>2026-10-10</x:v>
      </x:c>
      <x:c r="C75" s="2" t="n">
        <x:v>0</x:v>
      </x:c>
      <x:c r="D75" s="2" t="n">
        <x:v>360</x:v>
      </x:c>
      <x:c r="E75" s="2" t="n">
        <x:v>2500</x:v>
      </x:c>
      <x:c r="F75" s="2" t="n">
        <x:v>200</x:v>
      </x:c>
      <x:c r="G75" s="2" t="n">
        <x:v>5</x:v>
      </x:c>
      <x:c r="H75" s="2" t="str">
        <x:v>Dem som</x:v>
      </x:c>
    </x:row>
    <x:row r="76" ht="30" customHeight="1">
      <x:c r="A76" s="2" t="str">
        <x:v>R</x:v>
      </x:c>
      <x:c r="B76" s="10" t="str">
        <x:v>2026-10-10</x:v>
      </x:c>
      <x:c r="C76" s="2" t="n">
        <x:v>360</x:v>
      </x:c>
      <x:c r="D76" s="2" t="n">
        <x:v>1320</x:v>
      </x:c>
      <x:c r="E76" s="2" t="n">
        <x:v>2500</x:v>
      </x:c>
      <x:c r="F76" s="2" t="n">
        <x:v>200</x:v>
      </x:c>
      <x:c r="G76" s="2" t="n">
        <x:v>5</x:v>
      </x:c>
      <x:c r="H76" s="2" t="str">
        <x:v>Ban ngay</x:v>
      </x:c>
    </x:row>
    <x:row r="77" ht="30" customHeight="1">
      <x:c r="A77" s="2" t="str">
        <x:v>R</x:v>
      </x:c>
      <x:c r="B77" s="10" t="str">
        <x:v>2026-10-10</x:v>
      </x:c>
      <x:c r="C77" s="2" t="n">
        <x:v>1320</x:v>
      </x:c>
      <x:c r="D77" s="2" t="n">
        <x:v>1440</x:v>
      </x:c>
      <x:c r="E77" s="2" t="n">
        <x:v>2500</x:v>
      </x:c>
      <x:c r="F77" s="2" t="n">
        <x:v>200</x:v>
      </x:c>
      <x:c r="G77" s="2" t="n">
        <x:v>5</x:v>
      </x:c>
      <x:c r="H77" s="2" t="str">
        <x:v>Dem muon</x:v>
      </x:c>
    </x:row>
    <x:row r="78" ht="30" customHeight="1">
      <x:c r="A78" s="2" t="str">
        <x:v>ABC</x:v>
      </x:c>
      <x:c r="B78" s="10" t="str">
        <x:v>2026-10-10</x:v>
      </x:c>
      <x:c r="C78" s="2" t="n">
        <x:v>0</x:v>
      </x:c>
      <x:c r="D78" s="2" t="n">
        <x:v>360</x:v>
      </x:c>
      <x:c r="E78" s="2" t="n">
        <x:v>2000</x:v>
      </x:c>
      <x:c r="F78" s="2" t="n">
        <x:v>200</x:v>
      </x:c>
      <x:c r="G78" s="2" t="n">
        <x:v>5</x:v>
      </x:c>
      <x:c r="H78" s="2" t="str">
        <x:v>Dem som</x:v>
      </x:c>
    </x:row>
    <x:row r="79" ht="30" customHeight="1">
      <x:c r="A79" s="2" t="str">
        <x:v>ABC</x:v>
      </x:c>
      <x:c r="B79" s="10" t="str">
        <x:v>2026-10-10</x:v>
      </x:c>
      <x:c r="C79" s="2" t="n">
        <x:v>360</x:v>
      </x:c>
      <x:c r="D79" s="2" t="n">
        <x:v>1320</x:v>
      </x:c>
      <x:c r="E79" s="2" t="n">
        <x:v>3000</x:v>
      </x:c>
      <x:c r="F79" s="2" t="n">
        <x:v>200</x:v>
      </x:c>
      <x:c r="G79" s="2" t="n">
        <x:v>5</x:v>
      </x:c>
      <x:c r="H79" s="2" t="str">
        <x:v>Ban ngay</x:v>
      </x:c>
    </x:row>
    <x:row r="80" ht="30" customHeight="1">
      <x:c r="A80" s="2" t="str">
        <x:v>ABC</x:v>
      </x:c>
      <x:c r="B80" s="10" t="str">
        <x:v>2026-10-10</x:v>
      </x:c>
      <x:c r="C80" s="2" t="n">
        <x:v>1320</x:v>
      </x:c>
      <x:c r="D80" s="2" t="n">
        <x:v>1440</x:v>
      </x:c>
      <x:c r="E80" s="2" t="n">
        <x:v>2000</x:v>
      </x:c>
      <x:c r="F80" s="2" t="n">
        <x:v>200</x:v>
      </x:c>
      <x:c r="G80" s="2" t="n">
        <x:v>5</x:v>
      </x:c>
      <x:c r="H80" s="2" t="str">
        <x:v>Dem muon</x:v>
      </x:c>
    </x:row>
    <x:row r="81" ht="30" customHeight="1">
      <x:c r="A81" s="2" t="str">
        <x:v>ABC</x:v>
      </x:c>
      <x:c r="B81" s="10" t="str">
        <x:v>2026-10-11</x:v>
      </x:c>
      <x:c r="C81" s="2" t="n">
        <x:v>0</x:v>
      </x:c>
      <x:c r="D81" s="2" t="n">
        <x:v>360</x:v>
      </x:c>
      <x:c r="E81" s="2" t="n">
        <x:v>2500</x:v>
      </x:c>
      <x:c r="F81" s="2" t="n">
        <x:v>300</x:v>
      </x:c>
      <x:c r="G81" s="2" t="n">
        <x:v>5</x:v>
      </x:c>
      <x:c r="H81" s="2" t="str">
        <x:v>Dem som</x:v>
      </x:c>
    </x:row>
    <x:row r="82" ht="30" customHeight="1">
      <x:c r="A82" s="2" t="str">
        <x:v>ABC</x:v>
      </x:c>
      <x:c r="B82" s="10" t="str">
        <x:v>2026-10-11</x:v>
      </x:c>
      <x:c r="C82" s="2" t="n">
        <x:v>360</x:v>
      </x:c>
      <x:c r="D82" s="2" t="n">
        <x:v>1320</x:v>
      </x:c>
      <x:c r="E82" s="2" t="n">
        <x:v>3500</x:v>
      </x:c>
      <x:c r="F82" s="2" t="n">
        <x:v>300</x:v>
      </x:c>
      <x:c r="G82" s="2" t="n">
        <x:v>5</x:v>
      </x:c>
      <x:c r="H82" s="2" t="str">
        <x:v>Ban ngay</x:v>
      </x:c>
    </x:row>
    <x:row r="83" ht="30" customHeight="1">
      <x:c r="A83" s="2" t="str">
        <x:v>ABC</x:v>
      </x:c>
      <x:c r="B83" s="10" t="str">
        <x:v>2026-10-11</x:v>
      </x:c>
      <x:c r="C83" s="2" t="n">
        <x:v>1320</x:v>
      </x:c>
      <x:c r="D83" s="2" t="n">
        <x:v>1440</x:v>
      </x:c>
      <x:c r="E83" s="2" t="n">
        <x:v>2500</x:v>
      </x:c>
      <x:c r="F83" s="2" t="n">
        <x:v>300</x:v>
      </x:c>
      <x:c r="G83" s="2" t="n">
        <x:v>5</x:v>
      </x:c>
      <x:c r="H83" s="2" t="str">
        <x:v>Dem muon</x:v>
      </x:c>
    </x:row>
    <x:row r="84" ht="30" customHeight="1">
      <x:c r="A84" s="2" t="str">
        <x:v>ABC</x:v>
      </x:c>
      <x:c r="B84" s="10" t="str">
        <x:v>2026-10-12</x:v>
      </x:c>
      <x:c r="C84" s="2" t="n">
        <x:v>0</x:v>
      </x:c>
      <x:c r="D84" s="2" t="n">
        <x:v>360</x:v>
      </x:c>
      <x:c r="E84" s="2" t="n">
        <x:v>2500</x:v>
      </x:c>
      <x:c r="F84" s="2" t="n">
        <x:v>300</x:v>
      </x:c>
      <x:c r="G84" s="2" t="n">
        <x:v>5</x:v>
      </x:c>
      <x:c r="H84" s="2" t="str">
        <x:v>Dem som</x:v>
      </x:c>
    </x:row>
    <x:row r="85" ht="30" customHeight="1">
      <x:c r="A85" s="2" t="str">
        <x:v>ABC</x:v>
      </x:c>
      <x:c r="B85" s="10" t="str">
        <x:v>2026-10-12</x:v>
      </x:c>
      <x:c r="C85" s="2" t="n">
        <x:v>360</x:v>
      </x:c>
      <x:c r="D85" s="2" t="n">
        <x:v>1320</x:v>
      </x:c>
      <x:c r="E85" s="2" t="n">
        <x:v>3500</x:v>
      </x:c>
      <x:c r="F85" s="2" t="n">
        <x:v>300</x:v>
      </x:c>
      <x:c r="G85" s="2" t="n">
        <x:v>5</x:v>
      </x:c>
      <x:c r="H85" s="2" t="str">
        <x:v>Ban ngay</x:v>
      </x:c>
    </x:row>
    <x:row r="86" ht="30" customHeight="1">
      <x:c r="A86" s="2" t="str">
        <x:v>ABC</x:v>
      </x:c>
      <x:c r="B86" s="10" t="str">
        <x:v>2026-10-12</x:v>
      </x:c>
      <x:c r="C86" s="2" t="n">
        <x:v>1320</x:v>
      </x:c>
      <x:c r="D86" s="2" t="n">
        <x:v>1440</x:v>
      </x:c>
      <x:c r="E86" s="2" t="n">
        <x:v>2500</x:v>
      </x:c>
      <x:c r="F86" s="2" t="n">
        <x:v>300</x:v>
      </x:c>
      <x:c r="G86" s="2" t="n">
        <x:v>5</x:v>
      </x:c>
      <x:c r="H86" s="2" t="str">
        <x:v>Dem muon</x:v>
      </x:c>
    </x:row>
    <x:row r="90" ht="42" customHeight="1">
      <x:c r="A90" s="6" t="str">
        <x:v>Ca</x:v>
      </x:c>
      <x:c r="B90" s="6" t="str">
        <x:v>Idle giây</x:v>
      </x:c>
      <x:c r="C90" s="6" t="str">
        <x:v>Grace phút</x:v>
      </x:c>
      <x:c r="D90" s="6" t="str">
        <x:v>Giây thu</x:v>
      </x:c>
      <x:c r="E90" s="6" t="str">
        <x:v>Phút ROUNDUP</x:v>
      </x:c>
      <x:c r="F90" s="6" t="str">
        <x:v>Phút đáp án</x:v>
      </x:c>
      <x:c r="G90" s="6" t="str">
        <x:v>Lệch phút</x:v>
      </x:c>
    </x:row>
    <x:row r="91" ht="30" customHeight="1">
      <x:c r="A91" s="2" t="str">
        <x:v>KT-13</x:v>
      </x:c>
      <x:c r="B91" s="2" t="n">
        <x:v>600</x:v>
      </x:c>
      <x:c r="C91" s="2" t="n">
        <x:v>5</x:v>
      </x:c>
      <x:c r="D91" s="2" t="n">
        <x:f>MAX(0,B91-C91*60)</x:f>
        <x:v>300</x:v>
      </x:c>
      <x:c r="E91" s="2" t="n">
        <x:f>ROUNDUP(D91/60,0)</x:f>
        <x:v>5</x:v>
      </x:c>
      <x:c r="F91" s="2" t="n">
        <x:v>5</x:v>
      </x:c>
      <x:c r="G91" s="2" t="n">
        <x:f>E91-F91</x:f>
        <x:v>0</x:v>
      </x:c>
    </x:row>
    <x:row r="92" ht="30" customHeight="1">
      <x:c r="A92" s="2" t="str">
        <x:v>KT-14</x:v>
      </x:c>
      <x:c r="B92" s="2" t="n">
        <x:v>300</x:v>
      </x:c>
      <x:c r="C92" s="2" t="n">
        <x:v>5</x:v>
      </x:c>
      <x:c r="D92" s="2" t="n">
        <x:f>MAX(0,B92-C92*60)</x:f>
        <x:v>0</x:v>
      </x:c>
      <x:c r="E92" s="2" t="n">
        <x:f>ROUNDUP(D92/60,0)</x:f>
        <x:v>0</x:v>
      </x:c>
      <x:c r="F92" s="2" t="n">
        <x:v>0</x:v>
      </x:c>
      <x:c r="G92" s="2" t="n">
        <x:f>E92-F92</x:f>
        <x:v>0</x:v>
      </x:c>
    </x:row>
    <x:row r="93" ht="30" customHeight="1">
      <x:c r="A93" s="2" t="str">
        <x:v>KT-15</x:v>
      </x:c>
      <x:c r="B93" s="2" t="n">
        <x:v>301</x:v>
      </x:c>
      <x:c r="C93" s="2" t="n">
        <x:v>5</x:v>
      </x:c>
      <x:c r="D93" s="2" t="n">
        <x:f>MAX(0,B93-C93*60)</x:f>
        <x:v>1</x:v>
      </x:c>
      <x:c r="E93" s="2" t="n">
        <x:f>ROUNDUP(D93/60,0)</x:f>
        <x:v>1</x:v>
      </x:c>
      <x:c r="F93" s="2" t="n">
        <x:v>1</x:v>
      </x:c>
      <x:c r="G93" s="2" t="n">
        <x:f>E93-F93</x:f>
        <x:v>0</x:v>
      </x:c>
    </x:row>
    <x:row r="94" ht="30" customHeight="1">
      <x:c r="A94" s="2" t="str">
        <x:v>KT-16</x:v>
      </x:c>
      <x:c r="B94" s="2" t="n">
        <x:v>1220</x:v>
      </x:c>
      <x:c r="C94" s="2" t="n">
        <x:v>5</x:v>
      </x:c>
      <x:c r="D94" s="2" t="n">
        <x:f>MAX(0,B94-C94*60)</x:f>
        <x:v>920</x:v>
      </x:c>
      <x:c r="E94" s="2" t="n">
        <x:f>ROUNDUP(D94/60,0)</x:f>
        <x:v>16</x:v>
      </x:c>
      <x:c r="F94" s="2" t="n">
        <x:v>16</x:v>
      </x:c>
      <x:c r="G94" s="2" t="n">
        <x:f>E94-F94</x:f>
        <x:v>0</x:v>
      </x:c>
    </x:row>
    <x:row r="95" ht="30" customHeight="1">
      <x:c r="A95" s="2" t="str">
        <x:v>KT-17</x:v>
      </x:c>
      <x:c r="B95" s="2" t="n">
        <x:v>240</x:v>
      </x:c>
      <x:c r="C95" s="2" t="n">
        <x:v>5</x:v>
      </x:c>
      <x:c r="D95" s="2" t="n">
        <x:f>MAX(0,B95-C95*60)</x:f>
        <x:v>0</x:v>
      </x:c>
      <x:c r="E95" s="2" t="n">
        <x:f>ROUNDUP(D95/60,0)</x:f>
        <x:v>0</x:v>
      </x:c>
      <x:c r="F95" s="2" t="n">
        <x:v>0</x:v>
      </x:c>
      <x:c r="G95" s="2" t="n">
        <x:f>E95-F95</x:f>
        <x:v>0</x:v>
      </x:c>
    </x:row>
    <x:row r="96" ht="30" customHeight="1">
      <x:c r="A96" s="2" t="str">
        <x:v>KT-18</x:v>
      </x:c>
      <x:c r="B96" s="2" t="n">
        <x:v>360</x:v>
      </x:c>
      <x:c r="C96" s="2" t="n">
        <x:v>5</x:v>
      </x:c>
      <x:c r="D96" s="2" t="n">
        <x:f>MAX(0,B96-C96*60)</x:f>
        <x:v>60</x:v>
      </x:c>
      <x:c r="E96" s="2" t="n">
        <x:f>ROUNDUP(D96/60,0)</x:f>
        <x:v>1</x:v>
      </x:c>
      <x:c r="F96" s="2" t="n">
        <x:v>1</x:v>
      </x:c>
      <x:c r="G96" s="2" t="n">
        <x:f>E96-F96</x:f>
        <x:v>0</x:v>
      </x:c>
    </x:row>
    <x:row r="97" ht="30" customHeight="1">
      <x:c r="A97" s="2" t="str">
        <x:v>KT-22</x:v>
      </x:c>
      <x:c r="B97" s="2" t="n">
        <x:v>600</x:v>
      </x:c>
      <x:c r="C97" s="2" t="n">
        <x:v>5</x:v>
      </x:c>
      <x:c r="D97" s="2" t="n">
        <x:f>MAX(0,B97-C97*60)</x:f>
        <x:v>300</x:v>
      </x:c>
      <x:c r="E97" s="2" t="n">
        <x:f>ROUNDUP(D97/60,0)</x:f>
        <x:v>5</x:v>
      </x:c>
      <x:c r="F97" s="2" t="n">
        <x:v>5</x:v>
      </x:c>
      <x:c r="G97" s="2" t="n">
        <x:f>E97-F97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" hidden="0" customWidth="1"/>
    <x:col min="2" max="2" width="109" hidden="0" customWidth="1"/>
  </x:cols>
  <x:sheetData>
    <x:row r="2">
      <x:c r="A2" s="7" t="str">
        <x:v>Quy tắc và trạng thái nghiệm thu</x:v>
      </x:c>
    </x:row>
    <x:row r="6" ht="42" customHeight="1">
      <x:c r="A6" s="6" t="str">
        <x:v>Nội dung</x:v>
      </x:c>
      <x:c r="B6" s="6" t="str">
        <x:v>Diễn giải</x:v>
      </x:c>
    </x:row>
    <x:row r="7" ht="44" customHeight="1">
      <x:c r="A7" s="2" t="str">
        <x:v>Nguồn</x:v>
      </x:c>
      <x:c r="B7" s="14" t="str">
        <x:v>Backlog CSMS.xlsx: S-32; phân công: Thống nhất đã chốt #1/#2/#16, T-70/T-71/T-64.</x:v>
      </x:c>
    </x:row>
    <x:row r="8" ht="44" customHeight="1">
      <x:c r="A8" s="2" t="str">
        <x:v>Phạm vi</x:v>
      </x:c>
      <x:c r="B8" s="14" t="str">
        <x:v>Ba mô tả đầu giữ nguyên; số đo/ngày/giá được bổ sung. 19 ca sau bổ sung theo yêu cầu để phủ AC.</x:v>
      </x:c>
    </x:row>
    <x:row r="9" ht="44" customHeight="1">
      <x:c r="A9" s="2" t="str">
        <x:v>Wh tại ranh</x:v>
      </x:c>
      <x:c r="B9" s="14" t="str">
        <x:v>Nội suy chỉ số tích lũy trong cặp số đo kề nhau, làm tròn nửa lên rồi lấy hiệu.</x:v>
      </x:c>
    </x:row>
    <x:row r="10" ht="44" customHeight="1">
      <x:c r="A10" s="2" t="str">
        <x:v>Tiền điện</x:v>
      </x:c>
      <x:c r="B10" s="14" t="str">
        <x:v>ROUND(Wh × đ/kWh / 1000,0) từng đoạn, sau đó cộng các đoạn.</x:v>
      </x:c>
    </x:row>
    <x:row r="11" ht="44" customHeight="1">
      <x:c r="A11" s="2" t="str">
        <x:v>Khoảng tính phí</x:v>
      </x:c>
      <x:c r="B11" s="14" t="str">
        <x:v>[từ,đến); ngày theo Asia/Ho_Chi_Minh. Đoạn 0 Wh / 0 giây không sinh dòng.</x:v>
      </x:c>
    </x:row>
    <x:row r="12" ht="44" customHeight="1">
      <x:c r="A12" s="2" t="str">
        <x:v>Idle</x:v>
      </x:c>
      <x:c r="B12" s="14" t="str">
        <x:v>ceil(max(0, số giây - grace×60)/60); chỉ khoảng cuối trước Stop.</x:v>
      </x:c>
    </x:row>
    <x:row r="13" ht="44" customHeight="1">
      <x:c r="A13" s="2" t="str">
        <x:v>Idle qua ngày</x:v>
      </x:c>
      <x:c r="B13" s="14" t="str">
        <x:v>Grace một lần; phút thu dùng giá tại đầu phút. KT-16: 5×200 +11×300 =4300 đ.</x:v>
      </x:c>
    </x:row>
    <x:row r="14" ht="44" customHeight="1">
      <x:c r="A14" s="2" t="str">
        <x:v>Phân công</x:v>
      </x:c>
      <x:c r="B14" s="14" t="str">
        <x:v>Người làm: Hoàng Hữu Đạt. Người review: Đào Minh Tâm. Codex hỗ trợ; T-77 được Đào Minh Tâm xác nhận ngày 11/10/2026.</x:v>
      </x:c>
    </x:row>
    <x:row r="15" ht="44" customHeight="1">
      <x:c r="A15" s="2" t="str">
        <x:v>T-77 nghiệm thu</x:v>
      </x:c>
      <x:c r="B15" s="14" t="str">
        <x:v>Đào Minh Tâm đã xác nhận T-77 trong chat ngày 11/10/2026.</x:v>
      </x:c>
    </x:row>
    <x:row r="16" ht="44" customHeight="1">
      <x:c r="A16" s="2" t="str">
        <x:v>T-78</x:v>
      </x:c>
      <x:c r="B16" s="14" t="str">
        <x:v>Đọc expected cố định từ JSON, không sinh expected từ hàm sản phẩm hoặc công thức Excel.</x:v>
      </x:c>
    </x:row>
    <x:row r="17" ht="44" customHeight="1">
      <x:c r="A17" s="2" t="str">
        <x:v>Phần S-28</x:v>
      </x:c>
      <x:c r="B17" s="14" t="str">
        <x:v>Phí sau Stop tới rút súng chưa được bảng này nghiệm thu.</x:v>
      </x:c>
    </x:row>
  </x:sheetData>
  <x:pageMargins left="0.7" right="0.7" top="0.75" bottom="0.75" header="0.3" footer="0.3"/>
</x:worksheet>
</file>